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f3a32376182f586/Desktop/Cairns AI Planner/"/>
    </mc:Choice>
  </mc:AlternateContent>
  <xr:revisionPtr revIDLastSave="20" documentId="14_{082FEF11-AC35-4F61-BAA4-E1B03605CFB1}" xr6:coauthVersionLast="47" xr6:coauthVersionMax="47" xr10:uidLastSave="{4438CDE2-C964-45D8-B568-21B3115CD22D}"/>
  <bookViews>
    <workbookView xWindow="-98" yWindow="-98" windowWidth="19396" windowHeight="10276" xr2:uid="{00000000-000D-0000-FFFF-FFFF00000000}"/>
  </bookViews>
  <sheets>
    <sheet name="Attraction Groups" sheetId="6" r:id="rId1"/>
    <sheet name="Free-time attractions" sheetId="11" r:id="rId2"/>
    <sheet name="Extra Data for Business Decisio" sheetId="8" state="hidden" r:id="rId3"/>
    <sheet name="Archive Attractions Matrix" sheetId="9" state="hidden" r:id="rId4"/>
    <sheet name="Archive" sheetId="10" state="hidden" r:id="rId5"/>
  </sheets>
  <definedNames>
    <definedName name="_xlnm._FilterDatabase" localSheetId="0" hidden="1">'Attraction Groups'!$A$1:$AI$895</definedName>
    <definedName name="_xlnm._FilterDatabase" localSheetId="2" hidden="1">'Extra Data for Business Decisio'!$A$1:$C$50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8" l="1"/>
</calcChain>
</file>

<file path=xl/sharedStrings.xml><?xml version="1.0" encoding="utf-8"?>
<sst xmlns="http://schemas.openxmlformats.org/spreadsheetml/2006/main" count="3972" uniqueCount="757">
  <si>
    <t>Cairns Must Do's</t>
  </si>
  <si>
    <t>Nature &amp; Wildlife</t>
  </si>
  <si>
    <t>Tours &amp; Cruises</t>
  </si>
  <si>
    <t>Adventure</t>
  </si>
  <si>
    <t>Scenic Flights</t>
  </si>
  <si>
    <t>Great Barrier Reef</t>
  </si>
  <si>
    <t>Hiking</t>
  </si>
  <si>
    <t>Helicopter Flights</t>
  </si>
  <si>
    <t>Market Visit</t>
  </si>
  <si>
    <t>Kuranda</t>
  </si>
  <si>
    <t>Rainforest Walk</t>
  </si>
  <si>
    <t>Food Tours</t>
  </si>
  <si>
    <t>Snorkelling</t>
  </si>
  <si>
    <t>Hot Air Balloon Flights</t>
  </si>
  <si>
    <t>Museum Visit</t>
  </si>
  <si>
    <t>Daintree Rainforest</t>
  </si>
  <si>
    <t>Waterfall Visit</t>
  </si>
  <si>
    <t>Aboriginal Cultural Tour</t>
  </si>
  <si>
    <t>Scuba Diving</t>
  </si>
  <si>
    <t>Fly &amp; Cruise</t>
  </si>
  <si>
    <t>Art Gallery</t>
  </si>
  <si>
    <t>Cairns City Sights</t>
  </si>
  <si>
    <t>Crocodile Encounter</t>
  </si>
  <si>
    <t>River Cruise</t>
  </si>
  <si>
    <t>Whitewater Rafting</t>
  </si>
  <si>
    <t>Paronella Park</t>
  </si>
  <si>
    <t>National Park Visit</t>
  </si>
  <si>
    <t>Cave Tours</t>
  </si>
  <si>
    <t>Tubing</t>
  </si>
  <si>
    <t>Atherton Tableland</t>
  </si>
  <si>
    <t>Aquarium</t>
  </si>
  <si>
    <t>Island Tours</t>
  </si>
  <si>
    <t>Fishing</t>
  </si>
  <si>
    <t>Green Island</t>
  </si>
  <si>
    <t>Beach</t>
  </si>
  <si>
    <t>Half Day Tours</t>
  </si>
  <si>
    <t>Fitzroy Island</t>
  </si>
  <si>
    <t>The Pier</t>
  </si>
  <si>
    <t>Cairns Central Shopping Centre</t>
  </si>
  <si>
    <t>Josephine Falls</t>
  </si>
  <si>
    <t>The Cairns Esplanade Lagoon</t>
  </si>
  <si>
    <t>Port Douglas Markets</t>
  </si>
  <si>
    <t>Rusty's Market</t>
  </si>
  <si>
    <t>Cairns Night Markets</t>
  </si>
  <si>
    <t>Rex Lookout</t>
  </si>
  <si>
    <t>Babinda Boulders</t>
  </si>
  <si>
    <t>Centenary Lakes Nature Play Space</t>
  </si>
  <si>
    <t>Trinity Beach</t>
  </si>
  <si>
    <t>Tanks Art Centre</t>
  </si>
  <si>
    <t>Curtain Fig</t>
  </si>
  <si>
    <t>Behana Gorge</t>
  </si>
  <si>
    <t>Cairns Art Gallery</t>
  </si>
  <si>
    <t>DFO Cairns</t>
  </si>
  <si>
    <t>Four Mile Beach</t>
  </si>
  <si>
    <t>Ellis Beach</t>
  </si>
  <si>
    <t>Cairns Botanic Gardens</t>
  </si>
  <si>
    <t>Millaa Millaa &amp; The Waterfall Circuit</t>
  </si>
  <si>
    <t>Muddy's Playground</t>
  </si>
  <si>
    <t>Lambs Head</t>
  </si>
  <si>
    <t>Avenue of Honour</t>
  </si>
  <si>
    <t>Goomboora Park</t>
  </si>
  <si>
    <t>Palm Cove</t>
  </si>
  <si>
    <t>Walshs Pyramid Walking Track</t>
  </si>
  <si>
    <t>09:00am Green Island Full Day Tour with Glass Bottom Boat</t>
  </si>
  <si>
    <t>&lt;div&gt;Green Island snorkel cruise with glass bottom boat for marine viewing&lt;/div&gt;</t>
  </si>
  <si>
    <t>09:00am Green Island Half Day Tour with Glass Bottom Boat</t>
  </si>
  <si>
    <t>09:00am Green Island Half Day Tour with Snorkel Gear</t>
  </si>
  <si>
    <t>11:00am Green Island Full Day with Snorkel Gear</t>
  </si>
  <si>
    <t>&lt;div&gt;Scenic cruise to Green Island with snorkelling gear and beautiful coral exploration.&lt;/div&gt;</t>
  </si>
  <si>
    <t>1pm Green Island Half Day Tour with Snorkel Gear</t>
  </si>
  <si>
    <t>&lt;div&gt;Explore Green Island on this half-day tour with snorkelling and glass-bottom boat options.&lt;/div&gt;</t>
  </si>
  <si>
    <t>Cairns Adventures Sunset Sightseeing Tour</t>
  </si>
  <si>
    <t>&lt;div&gt;Relax on a sunset cruise in Cairns with complimentary drinks and stunning views.&lt;/div&gt;</t>
  </si>
  <si>
    <t>Cairns City Sights &amp; Surrounds Half Day Tour</t>
  </si>
  <si>
    <t>Cairns Classic Hot Air Balloon Flight with Hotel Transfers</t>
  </si>
  <si>
    <t>&lt;div&gt;Start your day with a spectacular hot air balloon inflation display and breathtaking views.&lt;/div&gt;</t>
  </si>
  <si>
    <t>Cairns River Cruise</t>
  </si>
  <si>
    <t>&lt;div&gt;Experience the Cairns River Cruise for stunning views and local stories on a relaxing journey.&lt;/div&gt;</t>
  </si>
  <si>
    <t>Cairns River Cruise &amp; City Sights</t>
  </si>
  <si>
    <t>Cairns to Cooktown 4WD Tours</t>
  </si>
  <si>
    <t>&lt;div&gt;Scenic 4WD tour from Cairns to Cooktown with stunning views and delicious lunch included&lt;/div&gt;</t>
  </si>
  <si>
    <t>Cape Tribulation Day Tour</t>
  </si>
  <si>
    <t>&lt;div&gt;Explore the worldâ€™s oldest rainforest on this premium full-day adventure!&lt;/div&gt;</t>
  </si>
  <si>
    <t>Cape Tribulation Rainforest Tour</t>
  </si>
  <si>
    <t>&lt;div&gt;Experience the Cape Tribulation Rainforest tour with a Daintree River cruise and lunch included.&lt;/div&gt;</t>
  </si>
  <si>
    <t>Cape Tribulation, Daintree &amp; Wildlife</t>
  </si>
  <si>
    <t>&lt;div&gt;Cape Tribulation, Daintree and Wildlife full-day eco tour with rainforest, river cruise and habitat visit.&lt;/div&gt;</t>
  </si>
  <si>
    <t>City Sights &amp; Spirit of Cairns Dinner Cruise</t>
  </si>
  <si>
    <t>Classic Ballooning Self Drive Atherton Tablelands</t>
  </si>
  <si>
    <t>&lt;div&gt;Unforgettable hot air balloon ride over the stunning Atherton Tablelands.&lt;/div&gt;</t>
  </si>
  <si>
    <t>Classic Kuranda Experience from Cairns</t>
  </si>
  <si>
    <t>&lt;div&gt;Full-day Kuranda experience with scenic railway, wildlife encounters, and Aboriginal culture.&lt;/div&gt;</t>
  </si>
  <si>
    <t>Classic Kuranda Reverse Experience from Cairns</t>
  </si>
  <si>
    <t>Cruise-Fly Full Day Experience</t>
  </si>
  <si>
    <t>Cruise-Fly with Sunlover Cruises</t>
  </si>
  <si>
    <t>Daintree Dreaming Aboriginal Cultural Tour</t>
  </si>
  <si>
    <t>&lt;div&gt;An Aboriginal cultural journey exploring the lush rainforest, mangroves, and cultural art.&lt;/div&gt;</t>
  </si>
  <si>
    <t>Daintree Rainforest - Mossman Gorge Day Tour</t>
  </si>
  <si>
    <t>&lt;div&gt;Explore the oldest rainforest in the world and spot a crocodile on the Daintree river.&lt;/div&gt;</t>
  </si>
  <si>
    <t>Daintree Rainforest 4WD Cape Tribulation Tour</t>
  </si>
  <si>
    <t>Daintree, Mossman Gorge &amp; Wildlife Tour</t>
  </si>
  <si>
    <t>Dreamtime Dive &amp; Snorkel from Cairns</t>
  </si>
  <si>
    <t>&lt;div&gt;Experience the Great Barrier Reef with Dreamtime Dive &amp; Snorkel and explore Indigenous culture.&lt;/div&gt;</t>
  </si>
  <si>
    <t>Electric Bus to Kuranda - Return Kuranda Scenic Train</t>
  </si>
  <si>
    <t>Evolution Outer Reef Cruise</t>
  </si>
  <si>
    <t>Express Kuranda Tropic Wings</t>
  </si>
  <si>
    <t>&lt;div&gt;Experience the Express Kuranda tour with scenic Skyrail views and Aboriginal cultural activities.&lt;/div&gt;</t>
  </si>
  <si>
    <t>Fitzroy "Best of Island" - Transfer, Lunch, Glass Bottom Boat Tour &amp; Snorkelling Equipment</t>
  </si>
  <si>
    <t>&lt;div&gt;Relax on Fitzroy Island with a glass bottom boat tour and snorkelling equipment included.&lt;/div&gt;</t>
  </si>
  <si>
    <t>&lt;div&gt;Experience Fitzroy Island with ferry transfers and snorkelling equipment for a day of adventure.&lt;/div&gt;</t>
  </si>
  <si>
    <t>Fitzroy Island Day Tour 'Best Of' Package</t>
  </si>
  <si>
    <t>Fitzroy Island Full Day Tour</t>
  </si>
  <si>
    <t>&lt;div&gt;Experience Fitzroy Island on a full-day tour with stunning beaches and vibrant coral reefs.&lt;/div&gt;</t>
  </si>
  <si>
    <t>Fitzroy Island Full Day Tour With lunch</t>
  </si>
  <si>
    <t>Fitzroy Island Half Day Tour</t>
  </si>
  <si>
    <t>&lt;div&gt;Quick escape to Fitzroy Island for a half-day adventure exploring beaches and vibrant marine life.&lt;/div&gt;</t>
  </si>
  <si>
    <t>Fitzroy Island Half Day Tour With Lunch</t>
  </si>
  <si>
    <t>&lt;div&gt;Half-day Fitzroy Island tour with lunch, discover the Great Barrier Reef in just two hours.&lt;/div&gt;</t>
  </si>
  <si>
    <t>Fitzroy Island Transfer</t>
  </si>
  <si>
    <t>Fly Cruise Moore Reef &amp; Fitzroy Island</t>
  </si>
  <si>
    <t>Fly-Cruise Great Barrier Reef Sunlover Cruises</t>
  </si>
  <si>
    <t>Fly-Cruise Half Day Experience</t>
  </si>
  <si>
    <t>Frankland Island All Inclusive Day Tour with 1 Intro Dive</t>
  </si>
  <si>
    <t>&lt;div&gt;All-inclusive Frankland Island tour with snorkelling, guided walks, and beachside buffet lunch.&lt;/div&gt;</t>
  </si>
  <si>
    <t>Frankland Island All Inclusive Day Tour with Snorkelling</t>
  </si>
  <si>
    <t>Full Day Green Island Cruise departing Cairns - 09:00</t>
  </si>
  <si>
    <t>&lt;div&gt;Full-day cruise to Green Island for snorkelling and rainforest walks&lt;/div&gt;</t>
  </si>
  <si>
    <t>Full Day Outer Great Barrier Reef Tour</t>
  </si>
  <si>
    <t>Gold Class Outer Reef Cruise</t>
  </si>
  <si>
    <t>Great Barrier Reef Half Day Snorkel Tour</t>
  </si>
  <si>
    <t>&lt;div&gt;Bring your sense of adventure on this half-day snorkel tour to explore the gorgeous Upolu Reef.&lt;/div&gt;</t>
  </si>
  <si>
    <t>Great Barrier Reef Snorkelling Tour from Cairns</t>
  </si>
  <si>
    <t>&lt;div&gt;Great Barrier Reef snorkelling tour to two outer reef sites from Cairns.&lt;/div&gt;</t>
  </si>
  <si>
    <t>Green Island &amp; Cairns City Sights</t>
  </si>
  <si>
    <t>Green Island &amp; Cairns City Sights + Transfers</t>
  </si>
  <si>
    <t>Green Island &amp; Great Barrier Reef Adventure</t>
  </si>
  <si>
    <t>&lt;div&gt;Experience Green Island and the Great Barrier Reef on this exciting full-day adventure.&lt;/div&gt;</t>
  </si>
  <si>
    <t>Green Island Cruise Full Day 4:30PM Return</t>
  </si>
  <si>
    <t>Green Island Cruise Half Day 2:30PM Return</t>
  </si>
  <si>
    <t>Green Island Discovery Tour 16.30 Return</t>
  </si>
  <si>
    <t>Green Island Eco Adventure incl Seawalker 2:30pm Return</t>
  </si>
  <si>
    <t>Green Island Eco Adventure incl Seawalker 4:30pm Return</t>
  </si>
  <si>
    <t>Half Day Barron River Rafting from Cairns</t>
  </si>
  <si>
    <t>Half Day Great Barrier Reef Snorkelling Tour</t>
  </si>
  <si>
    <t>Half Day Reef Adventure</t>
  </si>
  <si>
    <t>&lt;div&gt;Bring your sense of adventure for an exhilarating ride to the Great Barrier Reef to snorkel!&lt;/div&gt;</t>
  </si>
  <si>
    <t>Hartley Crocodile and Wildlife Park Tour</t>
  </si>
  <si>
    <t>Hartley's Crocodile Adventures Park Entry</t>
  </si>
  <si>
    <t>&lt;div&gt;Experience thrilling wildlife shows and serene boat cruises at this engaging wildlife park.&lt;/div&gt;</t>
  </si>
  <si>
    <t>Inner Reef Explorer Scenic Flight (30 mins)</t>
  </si>
  <si>
    <t>&lt;div&gt;30-minute flight over the Great Barrier Reef for stunning views and marine life sightings.&lt;/div&gt;</t>
  </si>
  <si>
    <t>Kuranda Army Duck Tour with Train &amp; Skyrail</t>
  </si>
  <si>
    <t>&lt;div&gt;Experience the Army Duck adventure with Skyrail and train through the stunning rainforest.&lt;/div&gt;</t>
  </si>
  <si>
    <t>Kuranda Day Tour from Cairns with Hotel Transfers</t>
  </si>
  <si>
    <t>Kuranda: Scenic Rail, Skyrail and Hartley's Crocodile Adventures from Cairns</t>
  </si>
  <si>
    <t>Luxury Superyacht Cruise-Fly with Snorkelling</t>
  </si>
  <si>
    <t>Moore Reef &amp; Fitzroy Island</t>
  </si>
  <si>
    <t>Moore Reef &amp; Fitzroy Island in a Day</t>
  </si>
  <si>
    <t>&lt;div&gt;Experience the Great Barrier Reef and Fitzroy Island in one extraordinary day of adventure.&lt;/div&gt;</t>
  </si>
  <si>
    <t>Moore reef and Fitzroy Island in a day</t>
  </si>
  <si>
    <t>Moore Reef Day Tour Cairns</t>
  </si>
  <si>
    <t>&lt;div&gt;Experience Moore Reef on a day trip with snorkelling, underwater observatory, and exciting water activities.&lt;/div&gt;</t>
  </si>
  <si>
    <t>Northern Experience Eco Tour from Cairns</t>
  </si>
  <si>
    <t>Ocean Spirit Cruise</t>
  </si>
  <si>
    <t>&lt;div&gt;Day cruise on Ocean Spirit to explore Michaelmas Cay and enjoy snorkelling and diving.&lt;/div&gt;</t>
  </si>
  <si>
    <t>Ocean Spirit Cruise from Cairns</t>
  </si>
  <si>
    <t>&lt;div&gt; Day cruise to Michaelmas Cay for snorkelling and scuba diving adventures.&lt;/div&gt;</t>
  </si>
  <si>
    <t>Outback and Chillagoe Caves Tour</t>
  </si>
  <si>
    <t>Outback Tasting Adventures from Cairns &amp; Northern Beaches</t>
  </si>
  <si>
    <t>Outer Barrier Reef Quicksilver Cruises</t>
  </si>
  <si>
    <t>&lt;div&gt;Outer reef cruise to Agincourt Ribbon Reefs from Port Douglas with diving, snorkelling, and more.&lt;/div&gt;</t>
  </si>
  <si>
    <t>Outer Reef Odyssey (40 mins)</t>
  </si>
  <si>
    <t>&lt;div&gt;Experience the Outer Reef Odyssey in 40 minutes with breathtaking views of the Great Barrier Reef.&lt;/div&gt;</t>
  </si>
  <si>
    <t>Paronella Park Experience by Day &amp; Night</t>
  </si>
  <si>
    <t>&lt;div&gt;Number 1 must-see attraction, Paronella Park offers an unforgettable experience exploring nature and history.&lt;/div&gt;</t>
  </si>
  <si>
    <t>Premium Daintree &amp; Cape Tribulation Day Tour</t>
  </si>
  <si>
    <t>Reef Day with Helicopter</t>
  </si>
  <si>
    <t>Reef Magic Pontoon Outer Great Barrier Reef Day Cruise From Cairns</t>
  </si>
  <si>
    <t>&lt;div&gt;Explore the Great Barrier Reef on a day cruise with snorkelling, diving, and relaxation options.&lt;/div&gt;</t>
  </si>
  <si>
    <t>Reef Magic Pontoon Outer Great Barrier Reef Day Cruise Pickup Northern Beaches</t>
  </si>
  <si>
    <t>&lt;div&gt;Explore the outer Great Barrier Reef on this day cruise with snorkelling and relaxation options.&lt;/div&gt;</t>
  </si>
  <si>
    <t>Reef Rainforest Fusion - Scenic Flight (45 mins)</t>
  </si>
  <si>
    <t>&lt;div&gt;45min combined Rainforest and Reef flight showcasing the very best the Cairns region has to offer.&lt;/div&gt;</t>
  </si>
  <si>
    <t>River Tubing with Aussie Drifterz</t>
  </si>
  <si>
    <t>&lt;div&gt;Take a splash with this exciting river tubing adventure in Cairns rainforest.&lt;/div&gt;</t>
  </si>
  <si>
    <t>&lt;div&gt;Experience the Silversonic Cruise for an unforgettable day of snorkelling at the Great Barrier Reef.&lt;/div&gt;</t>
  </si>
  <si>
    <t>Silverswift Cruise</t>
  </si>
  <si>
    <t>&lt;div&gt;Experience the Silverswift Cruise for an exciting day of diving and snorkelling at the Great Barrier Reef.&lt;/div&gt;</t>
  </si>
  <si>
    <t>Skyrail Rainforestation Hotel Transfers</t>
  </si>
  <si>
    <t>Spirit of Cairns Buffet Dinner Cruise</t>
  </si>
  <si>
    <t>&lt;div&gt;Enjoy a scenic dinner cruise on the Spirit of Cairns with a delicious buffet and live music.&lt;/div&gt;</t>
  </si>
  <si>
    <t>Two Island Explorer with Glass Bottom Boat</t>
  </si>
  <si>
    <t>Two Island Explorer with Snorkel Gear Hire</t>
  </si>
  <si>
    <t>Waterfall Wanderers Tour</t>
  </si>
  <si>
    <t>&lt;div&gt;Discover iconic waterfalls on this fun tour with morning tea, lunch, and games included.&lt;/div&gt;</t>
  </si>
  <si>
    <t>id</t>
  </si>
  <si>
    <t>title</t>
  </si>
  <si>
    <t>hot_seller_score</t>
  </si>
  <si>
    <t>attraction_group_title</t>
  </si>
  <si>
    <t>attraction_group_id</t>
  </si>
  <si>
    <t>Cairns_must_do</t>
  </si>
  <si>
    <t>primary_sub_category</t>
  </si>
  <si>
    <t>secondary_sub_category</t>
  </si>
  <si>
    <t>tertiary_sub_category</t>
  </si>
  <si>
    <t>fatigue_level</t>
  </si>
  <si>
    <t>for_non_swimmers?</t>
  </si>
  <si>
    <t>pensioner_friendly?</t>
  </si>
  <si>
    <t>kid_friendly?</t>
  </si>
  <si>
    <t>infant_friendly?</t>
  </si>
  <si>
    <t>duration in hours</t>
  </si>
  <si>
    <t>short_description</t>
  </si>
  <si>
    <t>Adventure Tour</t>
  </si>
  <si>
    <t>medium</t>
  </si>
  <si>
    <t>high</t>
  </si>
  <si>
    <t>&lt;div&gt;Exciting Barron River rafting adventure for families and thrill-seekers alike&lt;/div&gt;</t>
  </si>
  <si>
    <t>AG_Tubing_01</t>
  </si>
  <si>
    <t>AG_Waterfall_01</t>
  </si>
  <si>
    <t>Artheton Tablelands Tour</t>
  </si>
  <si>
    <t>AG_Artheton_01</t>
  </si>
  <si>
    <t>&lt;div&gt;Atherton Tablelands full-day tour with waterfalls, Devonshire Tea and Paronella Park.&lt;/div&gt;</t>
  </si>
  <si>
    <t>AG_City_01</t>
  </si>
  <si>
    <t>&lt;div&gt;Full-day guided Cairns river cruise and city sights tour with lunch and scenic views.&lt;/div&gt;</t>
  </si>
  <si>
    <t>&lt;div&gt;Discover Cairns on this guided tour and enjoy a scenic dinner cruise on Trinity Inlet.&lt;/div&gt;</t>
  </si>
  <si>
    <t>low</t>
  </si>
  <si>
    <t>&lt;div&gt;Explore Cairns on this small-group tour featuring stunning sights and a relaxing beach visit.&lt;/div&gt;</t>
  </si>
  <si>
    <t>Cairns City Sights &amp; Green Island Tour</t>
  </si>
  <si>
    <t>&lt;div&gt;Experience Green Island and Cairns City sights with snorkelling, culture, and stunning views.&lt;/div&gt;</t>
  </si>
  <si>
    <t>&lt;div&gt;Experience Green Island and Cairns City sights with a scenic catamaran ride and cultural exploration.&lt;/div&gt;</t>
  </si>
  <si>
    <t>Crocodile Tour</t>
  </si>
  <si>
    <t>AG_Crocodile_01</t>
  </si>
  <si>
    <t>River Cruises</t>
  </si>
  <si>
    <t>&lt;div&gt;Discover wildlife at Hartleyâ€™s Crocodile Adventures with engaging shows and scenic views.&lt;/div&gt;</t>
  </si>
  <si>
    <t>Daintree Rainforest and Cape Tribulation Tour</t>
  </si>
  <si>
    <t>AG_DTCT_01</t>
  </si>
  <si>
    <t>&lt;div&gt;Explore Cape Tribulation on this full-day tour to experience stunning rainforests and the Great Barrier Reef.&lt;/div&gt;</t>
  </si>
  <si>
    <t>&lt;div&gt;Full-day Daintree and Mossman Gorge tour with wildlife encounters and Indigenous culture&lt;/div&gt;</t>
  </si>
  <si>
    <t>&lt;div&gt;Explore the Daintree Rainforest on a full-day 4WD tour with river cruise and beach visit&lt;/div&gt;</t>
  </si>
  <si>
    <t>Daintree Rainforest &amp; Cape Tribulation Tour from Port Douglas</t>
  </si>
  <si>
    <t>&lt;div&gt;Explore the Daintree Rainforest on this premium tour featuring rainforest walks and wildlife spotting.&lt;/div&gt;</t>
  </si>
  <si>
    <t>AG_Fitz_Full_01</t>
  </si>
  <si>
    <t>&lt;div&gt; Day tour to Fitzroy Island with boat transfers, lunch, and snorkelling included.&lt;/div&gt;</t>
  </si>
  <si>
    <t>AG_Fitz_Half_01</t>
  </si>
  <si>
    <t>Fitzroy Island 1 Option Combo - Glass Bottom Boat Tour + Ferry Transfers</t>
  </si>
  <si>
    <t>&lt;div&gt;Experience Fitzroy Island with a glass bottom boat tour and ferry transfers for a perfect day in paradise.&lt;/div&gt;</t>
  </si>
  <si>
    <t>Fitzroy Island 2 Option Combo - Glass Bottom Boat + Snorkelling Equipment Hire &amp; Ferry Transfers</t>
  </si>
  <si>
    <t>&lt;div&gt;Explore Fitzroy Island with a glass bottom boat tour and snorkelling equipment hire for a perfect day out.&lt;/div&gt;</t>
  </si>
  <si>
    <t>Fitzroy Island 2 Option Combo - Lunch + Glass Bottom Boat Tour &amp; Ferry Transfers</t>
  </si>
  <si>
    <t>&lt;div&gt;Experience Fitzroy Island with a lunch and glass bottom boat tour for a perfect day of adventure.&lt;/div&gt;</t>
  </si>
  <si>
    <t>Fitzroy Island Value upgrade FIFD2</t>
  </si>
  <si>
    <t>&lt;div&gt;Explore Fitzroy Island with a glass bottom boat tour and snorkelling in a tropical paradise.&lt;/div&gt;</t>
  </si>
  <si>
    <t>Fly &amp; Cruise Tour</t>
  </si>
  <si>
    <t>AG_Fly_Cruise_01</t>
  </si>
  <si>
    <t>&lt;div&gt;Experience the Great Barrier Reef on this full-day cruise and scenic helicopter flight.&lt;/div&gt;</t>
  </si>
  <si>
    <t>&lt;div&gt;Experience a scenic cruise and helicopter flight over the Great Barrier Reef for stunning views.&lt;/div&gt;</t>
  </si>
  <si>
    <t>&lt;div&gt; Scenic fly-cruise adventure to the Great Barrier Reef with lunch on Fitzroy Island&lt;/div&gt;</t>
  </si>
  <si>
    <t>&lt;div&gt;Experience the Great Barrier Reef with a scenic helicopter flight and snorkelling adventure.&lt;/div&gt;</t>
  </si>
  <si>
    <t>&lt;div&gt;Helicopter tour to Moore Reef for a luxurious day at the pontoon.&lt;/div&gt;</t>
  </si>
  <si>
    <t>&lt;div&gt;Luxury superyacht cruise to the Great Barrier Reef with snorkelling and scenic helicopter flight&lt;/div&gt;</t>
  </si>
  <si>
    <t>&lt;div&gt;Cruise to the Outer Great Barrier Reef on a luxury superyacht with snorkelling and scenic helicopter flight.&lt;/div&gt;</t>
  </si>
  <si>
    <t>&lt;div&gt;Cruise to the Outer Great Barrier Reef on the luxurious Evolution for an unforgettable adventure.&lt;/div&gt;</t>
  </si>
  <si>
    <t>&lt;div&gt;Discover Green Island on this full-day cruise with activities and relaxation in a tropical paradise.&lt;/div&gt;</t>
  </si>
  <si>
    <t>Great Barrier Reef Full Day Tour</t>
  </si>
  <si>
    <t>AG_GBR_Full_01</t>
  </si>
  <si>
    <t>&lt;div&gt;Frankland Island all-inclusive day tour with snorkelling and buffet lunch.&lt;/div&gt;</t>
  </si>
  <si>
    <t>&lt;div&gt;Experience Moore Reef and Fitzroy Island in a day with snorkelling, lunch, and stunning scenery.&lt;/div&gt;</t>
  </si>
  <si>
    <t>&lt;div&gt;Ultimate adventure combining Moore Reef and Fitzroy Island with snorkelling and a buffet lunch.&lt;/div&gt;</t>
  </si>
  <si>
    <t>&lt;div&gt;Full-day adventure on the Great Barrier Reef with snorkelling, diving, and sailing experiences.&lt;/div&gt;</t>
  </si>
  <si>
    <t>AG_GBR_Full_02</t>
  </si>
  <si>
    <t>&lt;div&gt;Explore Fitzroy and Green Islands on this unforgettable Great Barrier Reef adventure with glass-bottom boat tour.&lt;/div&gt;</t>
  </si>
  <si>
    <t>&lt;div&gt;Explore two islands on this Great Barrier Reef adventure with snorkel gear included.&lt;/div&gt;</t>
  </si>
  <si>
    <t>Great Barrier Reef Half Day Tour</t>
  </si>
  <si>
    <t>AG_GBR_Half_01</t>
  </si>
  <si>
    <t>&lt;div&gt;Exciting half-day Great Barrier Reef snorkelling tour with over 2 hours of underwater exploration.&lt;/div&gt;</t>
  </si>
  <si>
    <t>Green Island Full Day Tour</t>
  </si>
  <si>
    <t>AG_Green_Full_01</t>
  </si>
  <si>
    <t>09:00am Green Island Full Day Tour with Snorkel Gear</t>
  </si>
  <si>
    <t>&lt;div&gt;Green Island snorkel cruise with coral viewing and island exploration&lt;/div&gt;</t>
  </si>
  <si>
    <t>11:00am Full Day Green Island with Glass Bottom Boat</t>
  </si>
  <si>
    <t>&lt;div&gt;Green Island reef cruise with snorkelling and coral viewing options.&lt;/div&gt;</t>
  </si>
  <si>
    <t>Green Island Half Day Tour</t>
  </si>
  <si>
    <t>AG_Green_Half_01</t>
  </si>
  <si>
    <t>&lt;div&gt;Discover Green Island on this half-day tour with snorkelling and glass bottom boat options.&lt;/div&gt;</t>
  </si>
  <si>
    <t>&lt;div&gt;Explore Green Island on this half-day tour with snorkelling gear and glass bottom boat options.&lt;/div&gt;</t>
  </si>
  <si>
    <t>1pm Green Island Half Day Tour with Glass Bottom Boat</t>
  </si>
  <si>
    <t>&lt;div&gt;Explore Green Island on this half-day tour with a glass-bottom boat experience.&lt;/div&gt;</t>
  </si>
  <si>
    <t>Green Island Discovery Tour 14.30 Return</t>
  </si>
  <si>
    <t>&lt;div&gt;Discover Green Island, a stunning coral cay, with activities and relaxation in a tropical paradise.&lt;/div&gt;</t>
  </si>
  <si>
    <t>&lt;div&gt;Discover Green Island, a stunning coral cay, with activities like snorkelling and rainforest walks.&lt;/div&gt;</t>
  </si>
  <si>
    <t>&lt;div&gt;Experience Green Island on this eco adventure with snorkelling, Seawalker diving, and more.&lt;/div&gt;</t>
  </si>
  <si>
    <t>&lt;div&gt;Discover Green Island on this half-day cruise with options for snorkelling and relaxing on the beach.&lt;/div&gt;</t>
  </si>
  <si>
    <t>AG_Balloon_01</t>
  </si>
  <si>
    <t>Kuranda Full Day Tour</t>
  </si>
  <si>
    <t>AG_Kuranda_Full_01</t>
  </si>
  <si>
    <t>&lt;div&gt;Electric bus to Kuranda with scenic train return, explore wildlife and Indigenous culture.&lt;/div&gt;</t>
  </si>
  <si>
    <t>Market visit</t>
  </si>
  <si>
    <t>&lt;div&gt;Experience Kuranda with a scenic cableway and railway journey through stunning rainforest landscapes.&lt;/div&gt;</t>
  </si>
  <si>
    <t>&lt;div&gt;Kuranda Scenic Rail, Skyrail and Hartleyâ€™s Crocodile Adventures full-day tour.&lt;/div&gt;</t>
  </si>
  <si>
    <t>&lt;div&gt;Discover Kuranda with scenic views and explore Rainforestation Nature Park's diverse attractions.&lt;/div&gt;</t>
  </si>
  <si>
    <t>Kuranda: Scenic Rail and Skyrail 09:50 - 13:45 from Cairns</t>
  </si>
  <si>
    <t>Kuranda Half Day Tour</t>
  </si>
  <si>
    <t>AG_Kuranda_Half_01</t>
  </si>
  <si>
    <t>&lt;div&gt;Kuranda Scenic Rail and Skyrail rainforest journey from Cairns.&lt;/div&gt;</t>
  </si>
  <si>
    <t>Kuranda: Scenic Rail Gold Class Train 9:50am and Skyrail 3:45pm Return</t>
  </si>
  <si>
    <t>&lt;div&gt;Experience Kuranda's scenic rail and skyrail for a day of breathtaking views and luxury.&lt;/div&gt;</t>
  </si>
  <si>
    <t>Kuranda: Scenic Rail and Skyrail 08:50 - 13:45 from Cairns</t>
  </si>
  <si>
    <t>&lt;div&gt;Kuranda Scenic Rail and Skyrail morning rainforest journey.&lt;/div&gt;</t>
  </si>
  <si>
    <t>Kuranda: Skyrail 11am and Kuranda Gold Class Scenic Train 330pm Return</t>
  </si>
  <si>
    <t>&lt;div&gt;Experience the Skyrail Rainforest Cableway and Gold Class Scenic Rail on this unforgettable Kuranda tour.&lt;/div&gt;</t>
  </si>
  <si>
    <t>Kuranda: Skyrail 11am and Kuranda Scenic Rail 2pm Return</t>
  </si>
  <si>
    <t>&lt;div&gt;Experience the Skyrail and Kuranda Scenic Rail with return transfers for a perfect day out!&lt;/div&gt;</t>
  </si>
  <si>
    <t>Kuranda: Skyrail and Scenic Rail Gold Class 11:00 -15:30 from Cairns</t>
  </si>
  <si>
    <t>&lt;div&gt;Kuranda Skyrail and Scenic Rail Gold Class premium rainforest journey.&lt;/div&gt;</t>
  </si>
  <si>
    <t>Kuranda: Skyrail and Scenic Rail 09:45 -14:00 from Cairns</t>
  </si>
  <si>
    <t>&lt;div&gt;Kuranda Skyrail and Scenic Rail morning rainforest journey from Cairns.&lt;/div&gt;</t>
  </si>
  <si>
    <t>Kuranda: Skyrail and Scenic Rail 11:00 - 14:00 From Cairns</t>
  </si>
  <si>
    <t>&lt;div&gt;Kuranda Skyrail and Scenic Rail half-day rainforest journey from Cairns.&lt;/div&gt;</t>
  </si>
  <si>
    <t>Kuranda: Skyrail and Scenic Rail 11:00 - 15:30 from Cairns</t>
  </si>
  <si>
    <t>&lt;div&gt;Kuranda Skyrail and Scenic Rail rainforest journey with return transfers.&lt;/div&gt;</t>
  </si>
  <si>
    <t>2 Day Rainforest and Outback</t>
  </si>
  <si>
    <t>Multi Day Tour</t>
  </si>
  <si>
    <t>AG_Multi_Day_01</t>
  </si>
  <si>
    <t>&lt;div&gt;2 Day Rainforest and Outback package with Daintree tour and Chillagoe adventure.&lt;/div&gt;</t>
  </si>
  <si>
    <t>2 Day Reef and Outback</t>
  </si>
  <si>
    <t>&lt;div&gt;2 Day Reef and Outback package with Outer Reef cruise and Chillagoe Caves adventure.&lt;/div&gt;</t>
  </si>
  <si>
    <t>2 Day Reef &amp; Rainforest Tour</t>
  </si>
  <si>
    <t>&lt;div&gt;Two-day reef and rainforest tour with outer reef cruise and Daintree adventure.&lt;/div&gt;</t>
  </si>
  <si>
    <t>Outback Full Day Tour</t>
  </si>
  <si>
    <t>AG_Outback_Full_01</t>
  </si>
  <si>
    <t>&lt;div&gt;Full-day outback tour featuring Chillagoe Caves and Aboriginal rock art with stunning scenery&lt;/div&gt;</t>
  </si>
  <si>
    <t>&lt;div&gt;Experience the Atherton Tablelands on a gourmet food and drink tour filled with local delights.&lt;/div&gt;</t>
  </si>
  <si>
    <t>AG_Paronella_01</t>
  </si>
  <si>
    <t>AG_Reef_Flights_01</t>
  </si>
  <si>
    <t>&lt;div&gt; Explore the Great Barrier Reef, Daintree Rainforest, and Australian Outback on this 3-day adventure.&lt;/div&gt;</t>
  </si>
  <si>
    <t>&lt;div&gt;Explore a serene memorial dedicated to Australian soldiers with beautiful lakeside views.&lt;/div&gt;</t>
  </si>
  <si>
    <t>&lt;div&gt;Discover Babinda Boulders, a natural oasis with swimming holes and stunning rainforest scenery.&lt;/div&gt;</t>
  </si>
  <si>
    <t>&lt;div&gt;Explore Behana Gorge for stunning waterfalls and refreshing swimming holes in a serene setting.&lt;/div&gt;</t>
  </si>
  <si>
    <t>&lt;div&gt;Explore Cairns Art Gallery and discover diverse exhibitions celebrating North Queensland's unique culture.&lt;/div&gt;</t>
  </si>
  <si>
    <t>&lt;div&gt;Explore the Cairns Botanic Gardens and discover diverse plant life in a tropical paradise.&lt;/div&gt;</t>
  </si>
  <si>
    <t>&lt;div&gt;Premier shopping experience at Cairns Central with over 180 stores and diverse dining options.&lt;/div&gt;</t>
  </si>
  <si>
    <t>&lt;div&gt;Explore Cairns Night Markets for shopping, dining, and a taste of local culture.&lt;/div&gt;</t>
  </si>
  <si>
    <t>Calypso Outer Reef Snorkel &amp; Dive - Pickup South Port Douglas</t>
  </si>
  <si>
    <t>&lt;div&gt;Experience the Great Barrier Reef with Calypso on an unforgettable snorkel and dive adventure.&lt;/div&gt;</t>
  </si>
  <si>
    <t>Calypso Outer Reef Snorkel &amp; Dive - Self Drive</t>
  </si>
  <si>
    <t>&lt;div&gt;Explore the Great Barrier Reef with Calypso on this exciting snorkel and dive adventure.&lt;/div&gt;</t>
  </si>
  <si>
    <t>&lt;div&gt;Family-friendly nature play space with wooden structures and sensory experiences for outdoor fun&lt;/div&gt;</t>
  </si>
  <si>
    <t>&lt;div&gt; Explore the Curtain Fig Tree and marvel at its stunning aerial roots and rich biodiversity.&lt;/div&gt;</t>
  </si>
  <si>
    <t>&lt;div&gt;Discover DFO Cairns, your go-to outlet for discounted fashion and homewares while enjoying a bite.&lt;/div&gt;</t>
  </si>
  <si>
    <t>Dreamtime Dive &amp; Snorkel Pickup Northern Beaches</t>
  </si>
  <si>
    <t>&lt;div&gt;Experience Dreamtime Dive &amp; Snorkel for a unique Great Barrier Reef adventure with cultural insights.&lt;/div&gt;</t>
  </si>
  <si>
    <t>Earl Hill Walking Track</t>
  </si>
  <si>
    <t>&lt;div&gt;Enjoy stunning coastal views on the Earl Hill Walking Track, perfect for beginner hikers.&lt;/div&gt;</t>
  </si>
  <si>
    <t>&lt;div&gt;Discover Ellis Beach, a serene coastal getaway with golden sands and stunning ocean views.&lt;/div&gt;</t>
  </si>
  <si>
    <t>&lt;div&gt;Experience Fitzroy Island with lunch and snorkelling equipment hire for a perfect day of adventure.&lt;/div&gt;</t>
  </si>
  <si>
    <t>&lt;div&gt;A beautiful beach experience with calm waters, perfect for swimming and relaxation.&lt;/div&gt;</t>
  </si>
  <si>
    <t>&lt;div&gt;Experience the Express Tour for a quick yet magical day at the Great Barrier Reef.&lt;/div&gt;</t>
  </si>
  <si>
    <t>&lt;div&gt;Experience the Express Tour for a quick yet memorable adventure at the Great Barrier Reef.&lt;/div&gt;</t>
  </si>
  <si>
    <t>Full Day Outer Great Barrier Reef Tour + Eco Discovery Snorkel Session</t>
  </si>
  <si>
    <t>&lt;div&gt;Join a full day tour to the Great Barrier Reef for snorkelling, diving, and eco discovery.&lt;/div&gt;</t>
  </si>
  <si>
    <t>&lt;div&gt;Experience the Great Barrier Reef on a day tour with snorkelling and a certified dive.&lt;/div&gt;</t>
  </si>
  <si>
    <t>&lt;div&gt;Experience the Great Barrier Reef on a day tour with snorkelling, diving, and a BBQ lunch.&lt;/div&gt;</t>
  </si>
  <si>
    <t>&lt;div&gt;Snorkel and dive at the Great Barrier Reef on this exciting day tour with a BBQ lunch.&lt;/div&gt;</t>
  </si>
  <si>
    <t>Glacier Rock via Douglas Track</t>
  </si>
  <si>
    <t>&lt;div&gt;Explore the Douglas Track for stunning rainforest scenery and breathtaking views from Glacier Rock.&lt;/div&gt;</t>
  </si>
  <si>
    <t>&lt;div&gt;Tranquil retreat at Goomboora Park with scenic trails and wildlife watching opportunities.&lt;/div&gt;</t>
  </si>
  <si>
    <t>Half Day Barron River Rafting - Self Drive to Lake Placid</t>
  </si>
  <si>
    <t>&lt;div&gt;Exciting Barron River rafting adventure for families and thrill-seekers, tackling Grade Three rapids.&lt;/div&gt;</t>
  </si>
  <si>
    <t>&lt;div&gt;Discover Josephine Falls, a stunning waterfall with crystal-clear pools and natural rock slides.&lt;/div&gt;</t>
  </si>
  <si>
    <t>Kuranda: Skyrail 9:45am and Kuranda Gold Class Scenic Train 3:30pm</t>
  </si>
  <si>
    <t>&lt;div&gt;Experience Kuranda with Skyrail and Scenic Rail Gold Class for a memorable day of exploration.&lt;/div&gt;</t>
  </si>
  <si>
    <t>&lt;div&gt;Experience Kuranda with Skyrail and Scenic Rail for a day of breathtaking views and exploration.&lt;/div&gt;</t>
  </si>
  <si>
    <t>&lt;div&gt;Experience Kuranda with Skyrail and Scenic Rail Gold Class for a unique rainforest adventure.&lt;/div&gt;</t>
  </si>
  <si>
    <t>&lt;div&gt; Scenic hike to Lambs Head for stunning views and granite boulders.&lt;/div&gt;</t>
  </si>
  <si>
    <t>Moore Reef Day Tour &amp; 10 min Scenic Heli Flight</t>
  </si>
  <si>
    <t>&lt;div&gt;Experience Moore Reef on a day trip with snorkelling, glass bottom boat tours, and a scenic helicopter flight.&lt;/div&gt;</t>
  </si>
  <si>
    <t>Mount Whitfield Conservation Park Trails</t>
  </si>
  <si>
    <t>&lt;div&gt; Scenic walks at Whitfield Range with stunning views of the city and northern areas.&lt;/div&gt;</t>
  </si>
  <si>
    <t>Northern Beaches - Cairns City Sights &amp; Surrounds Half Day Tour</t>
  </si>
  <si>
    <t>&lt;div&gt;Explore Cairns on this half-day tour featuring stunning sights and a relaxing beach visit.&lt;/div&gt;</t>
  </si>
  <si>
    <t>Northern Beaches - City Sights &amp; Spirit of Cairns Dinner Cruise</t>
  </si>
  <si>
    <t>&lt;div&gt;Experience Cairns on this guided tour and dinner cruise with stunning views and delicious cuisine.&lt;/div&gt;</t>
  </si>
  <si>
    <t>Outback Tasting Adventures from Port Douglas</t>
  </si>
  <si>
    <t>&lt;div&gt;Delicious journey through the Atherton Tablelands, tasting fresh local produce and gourmet delights.&lt;/div&gt;</t>
  </si>
  <si>
    <t>Outer Barrier Reef Adventure</t>
  </si>
  <si>
    <t>&lt;div&gt;Discover the Outer Barrier Reef Adventure with snorkelling, diving, and scenic views of marine life.&lt;/div&gt;</t>
  </si>
  <si>
    <t>&lt;div&gt;Relax at this stunning beachside village with palm-lined beaches and world-class dining options.&lt;/div&gt;</t>
  </si>
  <si>
    <t>&lt;div&gt;Explore the vibrant Port Douglas Markets for fresh produce and local crafts every Sunday.&lt;/div&gt;</t>
  </si>
  <si>
    <t>Reef Day with Helicopter + 1 Cert Scuba Dive</t>
  </si>
  <si>
    <t>Reef Day with Helicopter + 1 Intro Scuba Dive</t>
  </si>
  <si>
    <t>&lt;div&gt;Scenic lookout at Rex Lookout with breathtaking views of the Coral Sea and lush rainforest.&lt;/div&gt;</t>
  </si>
  <si>
    <t>&lt;div&gt;Explore Rustyâ€™s Market for fresh produce and local goods in a vibrant atmosphere.&lt;/div&gt;</t>
  </si>
  <si>
    <t>&lt;div&gt;Relax at the Cairns Esplanade Lagoon for a refreshing swim and stunning Coral Sea views.&lt;/div&gt;</t>
  </si>
  <si>
    <t>&lt;div&gt;Stylish waterfront destination with shopping and dining options overlooking the Coral Sea.&lt;/div&gt;</t>
  </si>
  <si>
    <t>&lt;div&gt;Relax at Trinity Beach, a coastal gem with golden sands and stunning ocean views.&lt;/div&gt;</t>
  </si>
  <si>
    <t>&lt;div&gt;Experience the Tusa Premium Reef Tour for a full day of snorkelling and diving adventures.&lt;/div&gt;</t>
  </si>
  <si>
    <t>&lt;div&gt;Challenging hike up Walshs Pyramid for stunning views of the surrounding landscape.&lt;/div&gt;</t>
  </si>
  <si>
    <t>Wangetti Trail</t>
  </si>
  <si>
    <t>&lt;div&gt;Discover a scenic rainforest and coastal hike with tropical views and rainforest magic.&lt;/div&gt;</t>
  </si>
  <si>
    <t>Attraction</t>
  </si>
  <si>
    <t>Count</t>
  </si>
  <si>
    <t>AUD</t>
  </si>
  <si>
    <t>Remarks (only for internal knowledge, no action needed)</t>
  </si>
  <si>
    <t>Cairns Category Mapping</t>
  </si>
  <si>
    <t>Sub-Category Mapping</t>
  </si>
  <si>
    <t>Same product as row 3</t>
  </si>
  <si>
    <t>Same product as row 2</t>
  </si>
  <si>
    <t>Green Island &amp; Great Barrier Reef Adventure/
 'Green Island with Semi-Submarine AND Glass Bottom Boat OR Snorkel Gear/</t>
  </si>
  <si>
    <t>11:00am Green Island Full Day with Snorkel Gear/
 '11:00am Full Day Green Island with Glass Bottom Boat/
 '09:00am Green Island Half Day Tour with Semi-Submarine AND Glass Bottom Boat OR Snorkel Gear</t>
  </si>
  <si>
    <t>Tablelands, Waterfalls &amp; Paronella Park</t>
  </si>
  <si>
    <t>Classic Kuranda Experience from Cairns/
  Classic Kuranda Reverse Experience from Cairns</t>
  </si>
  <si>
    <t>Moore Reef &amp; Fitzroy Island / Moore Reef Day Tour Cairns</t>
  </si>
  <si>
    <t>1pm Green Island Half Day Tour with Snorkel Gear/
 '1pm Green Island Half Day Tour with Glass Bottom Boat</t>
  </si>
  <si>
    <t>Kuranda Day Tour from Cairns with Hotel Transfers / Kuranda: Skyrail and Scenic Rail</t>
  </si>
  <si>
    <t xml:space="preserve">Seasonal booking (Unique Destination)
</t>
  </si>
  <si>
    <t>Army Duck with Skyrail and Train from Cairns</t>
  </si>
  <si>
    <t>Cairns River Cruise/
 Cairns River Cruise &amp; City Sights</t>
  </si>
  <si>
    <t>Inner Reef Explorer (30 mins)</t>
  </si>
  <si>
    <t>2 Option Combo - Lunch + Snorkelling Equipment Hire &amp; Ferry Transfers/
 '2 Option Combo - Lunch + Glass Bottom Boat Tour &amp; Ferry Transfers/
 '2 Option Combo - Glass Bottom Boat + Snorkelling Equipment Hire &amp; Ferry Transfers</t>
  </si>
  <si>
    <t>Northern Experience Eco Tour ex Cairns</t>
  </si>
  <si>
    <t>Get High Package with Snorkelling</t>
  </si>
  <si>
    <t>Snorkel Day Tour</t>
  </si>
  <si>
    <t>2 Day Reef and Rainforest</t>
  </si>
  <si>
    <t>Two Day Daintree Rainforest &amp; Reef</t>
  </si>
  <si>
    <t>Half Day Barron River Rafting - Cairns Return Transfer</t>
  </si>
  <si>
    <t>Cruise/Fly Full Day Experience
 'Cruise-Fly with Sunlover Cruises</t>
  </si>
  <si>
    <t>Fly/Cruise Half Day Experience</t>
  </si>
  <si>
    <t>Rate of inventory depletion from Rezdy/Livn
= (Inventory_previous - Inventory_current) / TimeElapsed</t>
  </si>
  <si>
    <t>&gt;6h = full day</t>
  </si>
  <si>
    <t>Diversity control
Do not recommend 2 attractions with the
same ExperienceCluster in the entire itinerary
IF attraction.ExperienceCluster in UsedClusters: reject</t>
  </si>
  <si>
    <t>IF KidsInTrip AND AllowedWithKids = False:
    remove attraction</t>
  </si>
  <si>
    <t>IF PensionersInTrip AND AllowedForPensioners = False:
    remove attraction</t>
  </si>
  <si>
    <t>Formula</t>
  </si>
  <si>
    <t>IF attraction.ExperienceCluster in UsedClusters:
    reject (unless duration policy allows repeat)</t>
  </si>
  <si>
    <t>AttractionID</t>
  </si>
  <si>
    <t>AI to push out or variant</t>
  </si>
  <si>
    <t>AI to take note</t>
  </si>
  <si>
    <t>short description</t>
  </si>
  <si>
    <t>Category</t>
  </si>
  <si>
    <t>Subcategory</t>
  </si>
  <si>
    <t>Attration Weightages</t>
  </si>
  <si>
    <t>Popularity Score</t>
  </si>
  <si>
    <t>DurationHours</t>
  </si>
  <si>
    <t>ExperienceCluster</t>
  </si>
  <si>
    <t>AllowedWithKids</t>
  </si>
  <si>
    <t>AllowedForPensioners</t>
  </si>
  <si>
    <t xml:space="preserve">FinalScore =
CategoryMatchScore
+ SubcategoryMatchScore
+ AttractionWeightages
+ PopularityScore
</t>
  </si>
  <si>
    <t>UsedClusters = {}</t>
  </si>
  <si>
    <t>Culture</t>
  </si>
  <si>
    <t>&lt;div&gt;Unique cultural venue at Tanks Arts Centre with diverse events and a vibrant atmosphere&lt;/div&gt;</t>
  </si>
  <si>
    <t>Sunlover Cruise &amp; Fly halfÂ day</t>
  </si>
  <si>
    <t>&lt;div&gt;Experience the Outer Great Barrier Reef with a scenic helicopter flight and exciting activities.&lt;/div&gt;</t>
  </si>
  <si>
    <t>Reef Cruise &amp; Fly</t>
  </si>
  <si>
    <t>Variant</t>
  </si>
  <si>
    <t>Snorkel Trip - No Lunch</t>
  </si>
  <si>
    <t>&lt;div&gt;Experience the Great Barrier Reef on this premium snorkel trip with expert guidance and stunning marine life.&lt;/div&gt;</t>
  </si>
  <si>
    <t>Push this</t>
  </si>
  <si>
    <t>Snorkel Trip - Inc. Lunch</t>
  </si>
  <si>
    <t>Snorkel Day Tour + 2 Introductory Dives</t>
  </si>
  <si>
    <t>Snorkel Day Tour + 2 Certified Dives</t>
  </si>
  <si>
    <t>Snorkel Day Tour + 1 Introductory Dive</t>
  </si>
  <si>
    <t>Snorkel Day Tour + 1 Certified Dive</t>
  </si>
  <si>
    <t>&lt;div&gt;Experience the Great Barrier Reef on this day tour with snorkelling, diving, and a BBQ lunch.&lt;/div&gt;</t>
  </si>
  <si>
    <t>&lt;div&gt; Exciting river tubing adventure in Cairns rainforest for all ages&lt;/div&gt;</t>
  </si>
  <si>
    <t>Reef Rainforest Fusion (45 mins)</t>
  </si>
  <si>
    <t>&lt;div&gt;This combined Rainforest and Reef flight showcases the very best the Cairns region has to offer.&lt;/div&gt;</t>
  </si>
  <si>
    <t>Hide from AI</t>
  </si>
  <si>
    <t>&lt;div&gt;Experience the Great Barrier Reef on a luxury superyacht with snorkelling and a scenic helicopter flight.&lt;/div&gt;</t>
  </si>
  <si>
    <t>&lt;div&gt;Cruise to the Outer Great Barrier Reef for snorkelling and a scenic helicopter flight.&lt;/div&gt;</t>
  </si>
  <si>
    <t>Push this (Maryanne's biggest seller)</t>
  </si>
  <si>
    <t>&lt;div&gt;Voted the number 1 must-see attraction, Paronella Park offers an unforgettable experience exploring nature and history.&lt;/div&gt;</t>
  </si>
  <si>
    <t xml:space="preserve">Take note: 4 possible products </t>
  </si>
  <si>
    <t>&lt;div&gt;Experience the Great Barrier Reef at Agincourt Reef with diving, snorkelling, and underwater observatory options.&lt;/div&gt;</t>
  </si>
  <si>
    <t>Open 8:30-17:00</t>
  </si>
  <si>
    <r>
      <rPr>
        <sz val="11"/>
        <color rgb="FF000000"/>
        <rFont val="Arial"/>
      </rPr>
      <t xml:space="preserve">Northern Experience Eco Tour ex Cairns </t>
    </r>
    <r>
      <rPr>
        <sz val="11"/>
        <color rgb="FFFF0000"/>
        <rFont val="Arial"/>
      </rPr>
      <t>(Paronella Park)</t>
    </r>
  </si>
  <si>
    <t>&lt;div&gt;Explore the northern region on this eco tour to discover stunning landscapes and diverse wildlife.&lt;/div&gt;</t>
  </si>
  <si>
    <t>&lt;div&gt;Family-friendly Muddy's Playground with water features and picnic areas for a fun day out.&lt;/div&gt;</t>
  </si>
  <si>
    <t xml:space="preserve">Push this </t>
  </si>
  <si>
    <t>Great for non-swimmers (have to ask Maryanne)</t>
  </si>
  <si>
    <t>Moore reef and Fitzroy Island inÂ aÂ day</t>
  </si>
  <si>
    <t>&lt;div&gt; Explore stunning waterfalls in lush rainforest&lt;/div&gt;</t>
  </si>
  <si>
    <t>TBC - AI can push as "Kuranda Skyrail with the multiple variants"</t>
  </si>
  <si>
    <t>Kuranda: Skyrail and Scenic Rail Gold Class S-0945 Q-1530 XN</t>
  </si>
  <si>
    <t>TBC</t>
  </si>
  <si>
    <t>Kuranda: Skyrail 9:45am and Kuranda Scenic Train 3:30pm Return</t>
  </si>
  <si>
    <t>Similar to 4483 except for the duration</t>
  </si>
  <si>
    <t>Push this ( Maryanne's good seller)</t>
  </si>
  <si>
    <t>Green Island &amp; Cairns City Sights - Reef Fleet Terminal</t>
  </si>
  <si>
    <t>Great Barrier Reef Half Day Snorkel Tour - Reef Adventure Ship Departure</t>
  </si>
  <si>
    <t>&lt;div&gt;Experience luxury on the Gold Class Outer Reef Cruise with VIP service and stunning reef views.&lt;/div&gt;</t>
  </si>
  <si>
    <t>4642 has the Add On for 1 intro dive, which makes 4643 redundant</t>
  </si>
  <si>
    <t>&lt;div&gt;All-inclusive Frankland Island day tour with snorkelling and optional activities for a perfect getaway&lt;/div&gt;</t>
  </si>
  <si>
    <t>take note that they are 3 different operators</t>
  </si>
  <si>
    <t>&lt;div&gt;Relaxing Fitzroy Island transfer for a day of beach fun and nature walks&lt;/div&gt;</t>
  </si>
  <si>
    <t>&lt;div&gt; Full day tour to Fitzroy Island with lunch and explore pristine beaches and vibrant coral reefs&lt;/div&gt;</t>
  </si>
  <si>
    <t>Push this ( Maryanne's popular seller)</t>
  </si>
  <si>
    <t>Full day</t>
  </si>
  <si>
    <t>&lt;div&gt; Day tour to Fitzroy Island with boat transfers, lunch, and snorkelling included&lt;/div&gt;</t>
  </si>
  <si>
    <t>Fitzroy "Island Value upgrade FIFD2</t>
  </si>
  <si>
    <t>Express Tour - No Lunch</t>
  </si>
  <si>
    <t>Express Tour - Lunch Included</t>
  </si>
  <si>
    <t>Ex Cairns - Standard</t>
  </si>
  <si>
    <t>&lt;div&gt; Day cruise to Michaelmas Cay for snorkelling and scuba diving adventures&lt;/div&gt;</t>
  </si>
  <si>
    <t xml:space="preserve">Push </t>
  </si>
  <si>
    <t>Two separate products</t>
  </si>
  <si>
    <t>Cruise-Fly with SunloverÂ Cruises</t>
  </si>
  <si>
    <t>Cruise/Fly Full Day Experience</t>
  </si>
  <si>
    <t>Crocodile and Wildlife Park Tour</t>
  </si>
  <si>
    <t>Classic Ballooning Self Drive to Mareeba, Atherton Tablelands</t>
  </si>
  <si>
    <t>&lt;div&gt;Hot air balloon ride over Atherton Tablelands for stunning views and serene experiences&lt;/div&gt;</t>
  </si>
  <si>
    <t>Push this (Good seller)</t>
  </si>
  <si>
    <t>Cairns - City Sights &amp; Spirit of Cairns Dinner Cruise</t>
  </si>
  <si>
    <t>Cairns - Cairns City Sights &amp; Surrounds Half Day Tour</t>
  </si>
  <si>
    <t>&lt;div&gt; Full-day cruise to Green Island with snorkelling and glass-bottom boat options&lt;/div&gt;</t>
  </si>
  <si>
    <t>10 Min Scenic - ZOOM Helicopters</t>
  </si>
  <si>
    <t>&lt;div&gt;Experience a scenic helicopter flight over the Great Barrier Reef and explore Fitzroy Island.&lt;/div&gt;</t>
  </si>
  <si>
    <t>1 Option Combo - Snorkelling Equipment + Ferry Transfers</t>
  </si>
  <si>
    <t>1 Option Combo - Glass Bottom Boat Tour + Ferry Transfers</t>
  </si>
  <si>
    <t>Same product as 5898, 5899</t>
  </si>
  <si>
    <t>1 Intro Dive - No Lunch</t>
  </si>
  <si>
    <t>&lt;div&gt;Experience the Great Barrier Reef with Tusa on this premium introductory dive adventure.&lt;/div&gt;</t>
  </si>
  <si>
    <t>1 Intro Dive - Inc. Lunch</t>
  </si>
  <si>
    <t>&lt;div&gt;Experience the Great Barrier Reef on this full-day tour with snorkelling and diving adventures.&lt;/div&gt;</t>
  </si>
  <si>
    <t>&lt;div&gt;Scenic cruise to Green Island with snorkelling gear or glass bottom boat tour&lt;/div&gt;</t>
  </si>
  <si>
    <t>&lt;div&gt;Scenic cruise to Green Island with snorkelling or glass bottom boat options for reef exploration.&lt;/div&gt;</t>
  </si>
  <si>
    <t>Push this (Good seller - Tablelands)</t>
  </si>
  <si>
    <t>Push this (Scuba - Snorkel good product)</t>
  </si>
  <si>
    <t>Port Douglas product</t>
  </si>
  <si>
    <t>Silversonic Cruise</t>
  </si>
  <si>
    <t>Special from that family of Moore reef tours</t>
  </si>
  <si>
    <t>Push this (Good seller - Green Island)</t>
  </si>
  <si>
    <t>Full Day Green Island departing Cairns - 09:00</t>
  </si>
  <si>
    <t>Push this (Good seller - Daintree)</t>
  </si>
  <si>
    <t>Push this (Good seller - Kuranda)</t>
  </si>
  <si>
    <t>Separate products</t>
  </si>
  <si>
    <t>&lt;div&gt;Full-day adventure to Daintree Rainforest and Cape Tribulation with wildlife encounters and stunning views&lt;/div&gt;</t>
  </si>
  <si>
    <t>&lt;div&gt;Two-day tour package to explore the Great Barrier Reef and Daintree Rainforest.&lt;/div&gt;</t>
  </si>
  <si>
    <t>3 Day Reef Rainforest and Outback</t>
  </si>
  <si>
    <t>Fitzroy Island - different companies giving different options</t>
  </si>
  <si>
    <t>2 Option Combo - Lunch + Snorkelling Equipment Hire &amp; Ferry Transfers</t>
  </si>
  <si>
    <t>2 Option Combo - Lunch + Glass Bottom Boat Tour &amp; Ferry Transfers</t>
  </si>
  <si>
    <t>2 Option Combo - Glass Bottom Boat + Snorkelling Equipment Hire &amp; Ferry Transfers</t>
  </si>
  <si>
    <t>&lt;div&gt;Explore the Great Barrier Reef and Daintree Rainforest on this unforgettable two-day tour.&lt;/div&gt;</t>
  </si>
  <si>
    <t>&lt;div&gt;Two-day adventure combining Great Barrier Reef and Daintree Rainforest exploration.&lt;/div&gt;</t>
  </si>
  <si>
    <t>&lt;div&gt;Explore the Daintree Rainforest and Chillagoe on this two-day adventure filled with nature.&lt;/div&gt;</t>
  </si>
  <si>
    <t>16.30 Return - Standard</t>
  </si>
  <si>
    <t>14.30 Return - Standard</t>
  </si>
  <si>
    <t>11:45am Express Kuranda Tropic Wings</t>
  </si>
  <si>
    <t>external_order_reference</t>
  </si>
  <si>
    <t>attraction</t>
  </si>
  <si>
    <t>date_of_booking</t>
  </si>
  <si>
    <t>travel_date</t>
  </si>
  <si>
    <t>booking_id</t>
  </si>
  <si>
    <t>amount</t>
  </si>
  <si>
    <t>source_type</t>
  </si>
  <si>
    <t>organisation_name</t>
  </si>
  <si>
    <t>Livn</t>
  </si>
  <si>
    <t>Cairns Discovery Tours</t>
  </si>
  <si>
    <t>rezdy</t>
  </si>
  <si>
    <t>!23</t>
  </si>
  <si>
    <t>Outback &amp; Chillagoe Caves Tour</t>
  </si>
  <si>
    <t>Moore Reef &amp; Island 50% Off Child</t>
  </si>
  <si>
    <t>Kuranda: Skyrail and Scenic Rail S-1100 Q-1400 XC</t>
  </si>
  <si>
    <t>Kuranda: Skyrail and Scenic Rail Gold Class S-1100 Q-1530 XC</t>
  </si>
  <si>
    <t>Green Island with Semi-Submarine AND Glass Bottom Boat OR Snorkel Gear</t>
  </si>
  <si>
    <t>Full Day Great Barrier Reef Tour Passions of Paradise</t>
  </si>
  <si>
    <t>1030-1630 - Standard</t>
  </si>
  <si>
    <t>09:00am Green Island Half Day Tour with Semi-Submarine AND Glass Bottom Boat OR Snorkel Gear</t>
  </si>
  <si>
    <t>Earl Hill WalkingTrack</t>
  </si>
  <si>
    <t>Mount Whitfield Green Trail</t>
  </si>
  <si>
    <t>Glacier Rock, The Douglas Track</t>
  </si>
  <si>
    <t>Crystal Cascades</t>
  </si>
  <si>
    <t>Stoney Creek Falls</t>
  </si>
  <si>
    <t>Cairns Esplanade Boardwalk</t>
  </si>
  <si>
    <t>Flagstaff Hill Lookout</t>
  </si>
  <si>
    <t>Mossman Gorge Boardwalk</t>
  </si>
  <si>
    <t>St Monica’s Cathedral</t>
  </si>
  <si>
    <t>Kuranda Rainforest Markets</t>
  </si>
  <si>
    <t>Base Region</t>
  </si>
  <si>
    <t>Min. Duration</t>
  </si>
  <si>
    <t>Cairns</t>
  </si>
  <si>
    <t>Artheton Tablelands</t>
  </si>
  <si>
    <t>Port Douglas</t>
  </si>
  <si>
    <t>Kuranda Half Day Tour from Cairns with Hotel Transfers</t>
  </si>
  <si>
    <t>Time of Day</t>
  </si>
  <si>
    <t>Energy Level</t>
  </si>
  <si>
    <t>Any</t>
  </si>
  <si>
    <t>Low</t>
  </si>
  <si>
    <t>Morning</t>
  </si>
  <si>
    <t>Medium</t>
  </si>
  <si>
    <t>Afternoon</t>
  </si>
  <si>
    <t>Morning , Afternoon</t>
  </si>
  <si>
    <t>Morning, Afternoon</t>
  </si>
  <si>
    <t>Evening</t>
  </si>
  <si>
    <t>High</t>
  </si>
  <si>
    <t>Tagging</t>
  </si>
  <si>
    <t>Australian Butterfly Sanctuary</t>
  </si>
  <si>
    <t>Birdworld Kuranda</t>
  </si>
  <si>
    <t>Hemingway’s Brewery</t>
  </si>
  <si>
    <t>Kuranda Koala Gardens</t>
  </si>
  <si>
    <t>AG_Whitewater Rafting_01</t>
  </si>
  <si>
    <t>AG_City_Half_01</t>
  </si>
  <si>
    <t>AG_City_Full_01</t>
  </si>
  <si>
    <t>Reef Flights</t>
  </si>
  <si>
    <t>Scuba Diving Tour</t>
  </si>
  <si>
    <t>AG_Scuba_Diving_01</t>
  </si>
  <si>
    <t>Outback Tours</t>
  </si>
  <si>
    <t>image_url</t>
  </si>
  <si>
    <t>adult_price</t>
  </si>
  <si>
    <t>child_price</t>
  </si>
  <si>
    <t>A$95</t>
  </si>
  <si>
    <t>A$70</t>
  </si>
  <si>
    <t>A$179</t>
  </si>
  <si>
    <t>A$139</t>
  </si>
  <si>
    <t>A$145</t>
  </si>
  <si>
    <t>A$209</t>
  </si>
  <si>
    <t>A$159</t>
  </si>
  <si>
    <t>A$79</t>
  </si>
  <si>
    <t>A$55</t>
  </si>
  <si>
    <t>A$69</t>
  </si>
  <si>
    <t>A$49</t>
  </si>
  <si>
    <t>A$89</t>
  </si>
  <si>
    <t>A$109</t>
  </si>
  <si>
    <t>A$229</t>
  </si>
  <si>
    <t>A$248</t>
  </si>
  <si>
    <t>A$168</t>
  </si>
  <si>
    <t>A$125</t>
  </si>
  <si>
    <t>A$65</t>
  </si>
  <si>
    <t>A$48</t>
  </si>
  <si>
    <t>A$24</t>
  </si>
  <si>
    <t>A$255</t>
  </si>
  <si>
    <t>A$160</t>
  </si>
  <si>
    <t>A$195</t>
  </si>
  <si>
    <t>A$259</t>
  </si>
  <si>
    <t>A$199</t>
  </si>
  <si>
    <t>A$399</t>
  </si>
  <si>
    <t>A$299</t>
  </si>
  <si>
    <t>A$260</t>
  </si>
  <si>
    <t>A$155</t>
  </si>
  <si>
    <t>A$239</t>
  </si>
  <si>
    <t>A$249</t>
  </si>
  <si>
    <t>A$222</t>
  </si>
  <si>
    <t>A$152</t>
  </si>
  <si>
    <t>A$101</t>
  </si>
  <si>
    <t>https://www.cairnsdiscoverytours.com/wp-content/uploads/2025/09/CDT_Sunlover_Fitzroy_Island_Glass_Bottom_Bloat.jpg.webp</t>
  </si>
  <si>
    <t>https://www.cairnsdiscoverytours.com/wp-content/uploads/2025/09/CDT_Port_Douglas.jpg.webp</t>
  </si>
  <si>
    <t>https://www.cairnsdiscoverytours.com/wp-content/uploads/2025/09/CDT_Billy_Tea_Boat.jpg.webp</t>
  </si>
  <si>
    <t>https://www.cairnsdiscoverytours.com/wp-content/uploads/2025/12/Photo-in-Rainforest-Images-High-Res-Google-Photos.jpg.webp</t>
  </si>
  <si>
    <t>https://www.cairnsdiscoverytours.com/wp-content/uploads/2025/09/CDT_Wildlife_Park_02.jpg.webp</t>
  </si>
  <si>
    <t>https://www.cairnsdiscoverytours.com/wp-content/uploads/2025/09/Janbal-Art-Gallery-TA-DOWN-UNDER-101021-1177-1024x683-1.jpg.webp</t>
  </si>
  <si>
    <t>https://www.cairnsdiscoverytours.com/wp-content/uploads/2025/09/CDT_Wildlife_Park.jpg.webp</t>
  </si>
  <si>
    <t>https://www.cairnsdiscoverytours.com/wp-content/uploads/2025/09/CDT_Kuku-Yalanji-people.jpg.webp</t>
  </si>
  <si>
    <t>https://www.cairnsdiscoverytours.com/wp-content/uploads/2025/06/Cassowary-Daintree.jpg.webp</t>
  </si>
  <si>
    <t>https://www.cairnsdiscoverytours.com/wp-content/uploads/2025/09/CDT_Tropic_Wings_Bus.jpg.webp</t>
  </si>
  <si>
    <t>https://www.cairnsdiscoverytours.com/wp-content/uploads/2025/09/CDT_Hartleys_Crock_Feeding.jpg.webp</t>
  </si>
  <si>
    <t>https://www.cairnsdiscoverytours.com/wp-content/uploads/2025/09/CDT_Hartleys_Boat_Croc.jpg.webp</t>
  </si>
  <si>
    <t>https://www.cairnsdiscoverytours.com/wp-content/uploads/2025/09/CDT_Green_Island.jpg.webp</t>
  </si>
  <si>
    <t>https://www.cairnsdiscoverytours.com/wp-content/uploads/2022/10/704731-passengers-having-a-drink-on-the-deck-of-spirit-of-cairns-5.jpg.webp</t>
  </si>
  <si>
    <t>https://www.cairnsdiscoverytours.com/wp-content/uploads/2022/10/704711-buffet-on-spirit-of-cairns-dinner-cruise-3.jpg.webp</t>
  </si>
  <si>
    <t>https://www.cairnsdiscoverytours.com/wp-content/uploads/2025/09/CDT_Half_Day_Harbour.jpg.webp</t>
  </si>
  <si>
    <t>https://www.cairnsdiscoverytours.com/wp-content/uploads/2022/10/Cairns-River-Cruises.jpeg.webp</t>
  </si>
  <si>
    <t>https://www.cairnsdiscoverytours.com/wp-content/uploads/2025/04/Cairns-Sunset-River-Cruise.jpeg.webp</t>
  </si>
  <si>
    <t>https://www.cairnsdiscoverytours.com/wp-content/uploads/2025/09/CDT_River_Cruise.jpg.webp</t>
  </si>
  <si>
    <t>https://www.cairnsdiscoverytours.com/wp-content/uploads/2025/09/CDT_Paronella_Park.jpg.webp</t>
  </si>
  <si>
    <t>A$189</t>
  </si>
  <si>
    <t>https://www.cairnsdiscoverytours.com/wp-content/uploads/2025/09/CDT_Paronella_Park_02.jpg.webp</t>
  </si>
  <si>
    <t>https://www.cairnsdiscoverytours.com/wp-content/uploads/2025/09/CDT_Barron-River-Rafting-action.jpg.webp</t>
  </si>
  <si>
    <t>https://www.cairnsdiscoverytours.com/wp-content/uploads/2023/02/Waterfalls_and_Rainforest_Tour.jpg.webp</t>
  </si>
  <si>
    <t>https://www.cairnsdiscoverytours.com/wp-content/uploads/2025/11/River-Tubing--e1764659922174.jpeg.webp</t>
  </si>
  <si>
    <t>A$97</t>
  </si>
  <si>
    <t>A$57</t>
  </si>
  <si>
    <t>https://www.cairnsdiscoverytours.com/wp-content/uploads/2025/09/CDT_Fitzroy_Island_Drinking_at_Bar.jpg.webp</t>
  </si>
  <si>
    <t>https://www.cairnsdiscoverytours.com/wp-content/uploads/2025/09/CDT_Silverswift_Snorkel.jpg.webp</t>
  </si>
  <si>
    <t>A$296</t>
  </si>
  <si>
    <t>A$219</t>
  </si>
  <si>
    <t>A$265</t>
  </si>
  <si>
    <t>A$165</t>
  </si>
  <si>
    <t>https://www.cairnsdiscoverytours.com/wp-content/uploads/2025/09/Evolution.jpeg.webp</t>
  </si>
  <si>
    <t>https://www.cairnsdiscoverytours.com/wp-content/uploads/2025/09/CDT_Dreatime_Diver.jpg.webp</t>
  </si>
  <si>
    <t>A$225</t>
  </si>
  <si>
    <t>https://www.cairnsdiscoverytours.com/wp-content/uploads/2025/09/CDT_Heli_Over_Reef_02.jpg.webp</t>
  </si>
  <si>
    <t>A$575</t>
  </si>
  <si>
    <t>A$525</t>
  </si>
  <si>
    <t>https://www.cairnsdiscoverytours.com/wp-content/uploads/2024/10/CDT_Heli_Half_Day_City_Sights.jpg.webp</t>
  </si>
  <si>
    <t>A$415</t>
  </si>
  <si>
    <t>https://www.cairnsdiscoverytours.com/wp-content/uploads/2025/09/great-barrier-reef-helicopter-scenic-flight-30-6-TEQ.jpg.webp</t>
  </si>
  <si>
    <t>https://www.cairnsdiscoverytours.com/wp-content/uploads/2024/02/Atherton_Tablelands_FoodWine_Day_Tour.jpg.webp</t>
  </si>
  <si>
    <t>A$100</t>
  </si>
  <si>
    <t>A$50</t>
  </si>
  <si>
    <t>https://www.cairnsdiscoverytours.com/wp-content/uploads/2025/12/Outback-Chillagoe.jpg.webp</t>
  </si>
  <si>
    <t>https://www.cairnsdiscoverytours.com/wp-content/uploads/2025/09/CDT_Cooktown_Tour_Crossing.jpg.webp</t>
  </si>
  <si>
    <t>A$395</t>
  </si>
  <si>
    <t>https://www.cairnsdiscoverytours.com/wp-content/uploads/2025/09/CDT_Sunlover_Fitzroy_Island_Paddle_Boards.jpg.webp</t>
  </si>
  <si>
    <t>https://www.cairnsdiscoverytours.com/wp-content/uploads/2025/09/CDT_Kuranda_Train_Station.jpg.webp</t>
  </si>
  <si>
    <t>https://www.cairnsdiscoverytours.com/wp-content/uploads/2025/09/CDT_Down_Under_Wrasse.jpg.webp</t>
  </si>
  <si>
    <t>https://www.cairnsdiscoverytours.com/wp-content/uploads/2025/09/CDT_Billy_T_Rainforest_Walk_02.jpg.webp</t>
  </si>
  <si>
    <t>https://www.cairnsdiscoverytours.com/wp-content/uploads/2025/09/CDT_Billy_T_Beach_Walk.jpg.webp</t>
  </si>
  <si>
    <t>https://www.cairnsdiscoverytours.com/wp-content/uploads/2025/09/CDT_Cairns_Hot_Air_Ballons.jpg.webp</t>
  </si>
  <si>
    <t>https://www.cairnsdiscoverytours.com/wp-content/uploads/2025/09/great-adventures-hero-slide-0422180.jpg.webp</t>
  </si>
  <si>
    <t>https://www.cairnsdiscoverytours.com/wp-content/uploads/2025/09/CDT_Seawalker_Helmet_Dive_Fitzroy_Island.jpg.webp</t>
  </si>
  <si>
    <t>https://www.cairnsdiscoverytours.com/wp-content/uploads/2025/09/Snorkellers-with-turtle-2.jpg.webp</t>
  </si>
  <si>
    <t>https://www.cairnsdiscoverytours.com/wp-content/uploads/2022/10/Screen-Shot-2023-08-14-at-6.24.33-am.jpg.webp</t>
  </si>
  <si>
    <t>https://fitzroyislandadventures.com/wp-content/uploads/2023/04/Fitzroy-Island-glass-bottom-boat-650.jpg</t>
  </si>
  <si>
    <t>https://img.barrierreefaustralia.com/files/media/companies/f-j-operators/fitzroy-island-ferries-sea-kayaking-rt/101956046_2955587741195395_2148544453382504448_o.jpg%20paint.jpg</t>
  </si>
  <si>
    <t>Kayaking</t>
  </si>
  <si>
    <t>https://www.cairnsdiscoverytours.com/wp-content/uploads/2023/04/241210_FITZROY-IS_SJI_CALYPSO%C2%A9_DJI_20241210133103_0155_D.jpg.webp</t>
  </si>
  <si>
    <t>https://www.cairnsdiscoverytours.com/wp-content/uploads/2025/09/CDT_Fitzroy_Island_Sundancer_02.jpg.webp</t>
  </si>
  <si>
    <t>https://www.cairnsdiscoverytours.com/wp-content/uploads/2022/10/Sun_Lover_Banner.jpg.webp</t>
  </si>
  <si>
    <t>A$570</t>
  </si>
  <si>
    <t>A$675</t>
  </si>
  <si>
    <t>A$549</t>
  </si>
  <si>
    <t>A$530</t>
  </si>
  <si>
    <t>https://www.cairnsdiscoverytours.com/wp-content/uploads/2025/11/Fly-Cruise-Sunlover-Cruises.jpg.webp</t>
  </si>
  <si>
    <t>A$1042</t>
  </si>
  <si>
    <t>A$916</t>
  </si>
  <si>
    <t>https://www.cairnsdiscoverytours.com/wp-content/uploads/2025/12/Cruise-Fly-Down-Under-Cruise.jpg</t>
  </si>
  <si>
    <t>A$274</t>
  </si>
  <si>
    <t>A$144</t>
  </si>
  <si>
    <t>https://www.cairnsdiscoverytours.com/wp-content/uploads/2025/09/CDT_Ocean_Spirit_Catamaran.jpg.webp</t>
  </si>
  <si>
    <t>https://www.cairnsdiscoverytours.com/wp-content/uploads/2025/09/CDT_Ocean_Spirit_Snorkelers.jpg.webp</t>
  </si>
  <si>
    <t>A$250</t>
  </si>
  <si>
    <t>A$169</t>
  </si>
  <si>
    <t>https://www.cairnsdiscoverytours.com/wp-content/uploads/2025/09/CDT_SUNLOVER_Slide.jpg.webp</t>
  </si>
  <si>
    <t>A$295</t>
  </si>
  <si>
    <t>https://www.cairnsdiscoverytours.com/wp-content/uploads/2025/09/CDT_SUNLOVER_SJI_0025.jpeg.webp</t>
  </si>
  <si>
    <t>https://www.cairnsdiscoverytours.com/wp-content/uploads/2024/01/Sunlover-Cruises.jpg.webp</t>
  </si>
  <si>
    <t>https://www.cairnsdiscoverytours.com/wp-content/uploads/2025/09/CDT_Passions_Child_Driving-_The-_Boat.jpg.webp</t>
  </si>
  <si>
    <t>A$269</t>
  </si>
  <si>
    <t>https://www.cairnsdiscoverytours.com/wp-content/uploads/2025/09/CDT_Passions_Family-Getting-ready-for-a-snorkel.jpg.webp</t>
  </si>
  <si>
    <t>A$315</t>
  </si>
  <si>
    <t>https://www.cairnsdiscoverytours.com/wp-content/uploads/2025/09/CDT_Reef_Magic_Pontoon_Reef.jpg.webp</t>
  </si>
  <si>
    <t>A$196</t>
  </si>
  <si>
    <t>A$98</t>
  </si>
  <si>
    <t>https://images.squarespace-cdn.com/content/v1/61144e10b6dea33d49d3dd77/5642fe1d-808e-4d8b-9883-4fd228613f9b/Fitzroy+Island+dot+com+Glass+Bottom+Boat+Tours.jpg</t>
  </si>
  <si>
    <t>https://www.cairnsdiscoverytours.com/wp-content/uploads/2025/12/RAC_240927-1609.jpg.webp</t>
  </si>
  <si>
    <t>https://quicksilver-cruises.com/qsc/wp-content/uploads/2015/10/hero-mobile-720-bg3.jpg</t>
  </si>
  <si>
    <t>https://www.cairnsdiscoverytours.com/wp-content/uploads/2025/12/RAC_240927-1475.jpg.webp</t>
  </si>
  <si>
    <t>https://www.cairnsdiscoverytours.com/wp-content/uploads/2025/12/RAC_240927-1428.jpg.webp</t>
  </si>
  <si>
    <t>https://www.cairnsdiscoverytours.com/wp-content/uploads/2025/09/CDT_Kuranda_Market.jpg.webp</t>
  </si>
  <si>
    <t>https://www.cairnsdiscoverytours.com/wp-content/uploads/2024/07/Exco-Daintree-162.jpg.webp</t>
  </si>
  <si>
    <t>https://tropicwings.com.au/wp-content/uploads/2025/04/29.png</t>
  </si>
  <si>
    <t>https://www.cairnsdiscoverytours.com/wp-content/uploads/2025/09/CDT_Rainforestation_Army_Duck_02.jpg</t>
  </si>
  <si>
    <t>A$118</t>
  </si>
  <si>
    <t>https://cdn.experienceoz.com.au/assets/imgproxy/productCatalogueType/41131/image/535832.jpg?format=webp</t>
  </si>
  <si>
    <t>A$262</t>
  </si>
  <si>
    <t>https://images.thetravelshop.com/img/3344/gallery/two-women-boarding-kuranda-scenic-train-900x600.jpg</t>
  </si>
  <si>
    <t>https://www.pelago.com/img/products/AU-Australia/gck/0506-0223_1.jpg</t>
  </si>
  <si>
    <t>https://www.downundertours.com/wp-content/uploads/2015/03/KSR_Stoney_Falls.jpg</t>
  </si>
  <si>
    <t>https://www.tourismtown.com/images/listingspecial/7616/25Ets8tdxgDxf_750x500.jpeg</t>
  </si>
  <si>
    <t>https://www.cairnsdiscoverytours.com/wp-content/uploads/2025/09/CDT_Hot_Air_Balloon_02.jpg.webp</t>
  </si>
  <si>
    <t>A$495</t>
  </si>
  <si>
    <t>https://www.cairnsdiscoverytours.com/wp-content/uploads/2025/09/Big_Cat_Green_Island_Reef_Cruises_NorthQLD_211016-6454-scaled-1.jpg.webp</t>
  </si>
  <si>
    <t>https://www.cairnsdiscoverytours.com/wp-content/uploads/2025/09/CDT_Green_Island_Snorkelers.jpg.webp</t>
  </si>
  <si>
    <t>https://www.cairnsdiscoverytours.com/wp-content/uploads/2025/09/CDT_Seawalker_Helmet_Dive_Fitzroy_Island_03.jpg.webp</t>
  </si>
  <si>
    <t>A$120</t>
  </si>
  <si>
    <t>A$60</t>
  </si>
  <si>
    <t>https://www.cairnsdiscoverytours.com/wp-content/uploads/2025/09/CDT_Green_Island_Kyak.jpg.webp</t>
  </si>
  <si>
    <t>https://www.cairnsdiscoverytours.com/wp-content/uploads/2025/09/CDT_Green_Island_National_Park.jpg.webp</t>
  </si>
  <si>
    <t>Crocodile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</si>
</sst>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 dd\ yyyy"/>
    <numFmt numFmtId="165" formatCode="mmm\ d\ yyyy"/>
    <numFmt numFmtId="166" formatCode="mmmm\ d\ yyyy"/>
    <numFmt numFmtId="167" formatCode="mmmm\ dd\ yyyy"/>
  </numFmts>
  <fonts count="23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rgb="FF000000"/>
      <name val="Aptos Narrow"/>
    </font>
    <font>
      <sz val="11"/>
      <color rgb="FF000000"/>
      <name val="&quot;Aptos Narrow&quot;"/>
    </font>
    <font>
      <sz val="11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FF0000"/>
      <name val="Arial"/>
      <scheme val="minor"/>
    </font>
    <font>
      <sz val="11"/>
      <color rgb="FFE06666"/>
      <name val="&quot;Aptos Narrow&quot;"/>
    </font>
    <font>
      <sz val="11"/>
      <color rgb="FFFF0000"/>
      <name val="Arial"/>
    </font>
    <font>
      <sz val="11"/>
      <color rgb="FF4A86E8"/>
      <name val="Arial"/>
    </font>
    <font>
      <b/>
      <sz val="11"/>
      <color rgb="FFFF9900"/>
      <name val="Arial"/>
    </font>
    <font>
      <sz val="11"/>
      <color rgb="FFFF9900"/>
      <name val="Arial"/>
    </font>
    <font>
      <sz val="11"/>
      <color rgb="FFE06666"/>
      <name val="Arial"/>
    </font>
    <font>
      <sz val="11"/>
      <color rgb="FFFF0000"/>
      <name val="&quot;Aptos Narrow&quot;"/>
    </font>
    <font>
      <b/>
      <sz val="9"/>
      <color rgb="FF000000"/>
      <name val="Calibri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ptos Narrow"/>
      <family val="2"/>
    </font>
    <font>
      <sz val="8"/>
      <name val="Arial"/>
      <scheme val="minor"/>
    </font>
    <font>
      <u/>
      <sz val="10"/>
      <color theme="10"/>
      <name val="Arial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D7E6B"/>
        <bgColor rgb="FFDD7E6B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D0E0E3"/>
        <bgColor rgb="FFD0E0E3"/>
      </patternFill>
    </fill>
    <fill>
      <patternFill patternType="solid">
        <fgColor rgb="FFFFD966"/>
        <bgColor rgb="FFFFD966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C27BA0"/>
        <bgColor rgb="FFC27BA0"/>
      </patternFill>
    </fill>
    <fill>
      <patternFill patternType="solid">
        <fgColor rgb="FFFF00FF"/>
        <bgColor rgb="FFFF00FF"/>
      </patternFill>
    </fill>
    <fill>
      <patternFill patternType="solid">
        <fgColor rgb="FFDDD9C4"/>
        <bgColor rgb="FFDDD9C4"/>
      </patternFill>
    </fill>
    <fill>
      <patternFill patternType="solid">
        <fgColor rgb="FFF2DCDB"/>
        <bgColor rgb="FFF2DCDB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D9F1F3"/>
        <bgColor indexed="64"/>
      </patternFill>
    </fill>
    <fill>
      <patternFill patternType="solid">
        <fgColor theme="2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1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right"/>
    </xf>
    <xf numFmtId="0" fontId="8" fillId="0" borderId="0" xfId="0" quotePrefix="1" applyFont="1"/>
    <xf numFmtId="0" fontId="9" fillId="0" borderId="0" xfId="0" applyFont="1"/>
    <xf numFmtId="0" fontId="5" fillId="3" borderId="0" xfId="0" applyFont="1" applyFill="1"/>
    <xf numFmtId="0" fontId="10" fillId="4" borderId="0" xfId="0" applyFont="1" applyFill="1"/>
    <xf numFmtId="0" fontId="5" fillId="5" borderId="0" xfId="0" applyFont="1" applyFill="1"/>
    <xf numFmtId="0" fontId="5" fillId="6" borderId="0" xfId="0" applyFont="1" applyFill="1"/>
    <xf numFmtId="0" fontId="5" fillId="7" borderId="0" xfId="0" applyFont="1" applyFill="1"/>
    <xf numFmtId="0" fontId="11" fillId="0" borderId="0" xfId="0" applyFont="1"/>
    <xf numFmtId="0" fontId="5" fillId="2" borderId="0" xfId="0" applyFont="1" applyFill="1"/>
    <xf numFmtId="0" fontId="5" fillId="8" borderId="0" xfId="0" applyFont="1" applyFill="1"/>
    <xf numFmtId="0" fontId="12" fillId="0" borderId="0" xfId="0" applyFont="1"/>
    <xf numFmtId="0" fontId="5" fillId="9" borderId="0" xfId="0" applyFont="1" applyFill="1"/>
    <xf numFmtId="0" fontId="5" fillId="10" borderId="0" xfId="0" applyFont="1" applyFill="1"/>
    <xf numFmtId="0" fontId="5" fillId="4" borderId="0" xfId="0" applyFont="1" applyFill="1"/>
    <xf numFmtId="0" fontId="13" fillId="0" borderId="0" xfId="0" applyFont="1"/>
    <xf numFmtId="0" fontId="5" fillId="11" borderId="0" xfId="0" applyFont="1" applyFill="1"/>
    <xf numFmtId="0" fontId="14" fillId="0" borderId="0" xfId="0" applyFont="1"/>
    <xf numFmtId="0" fontId="15" fillId="0" borderId="0" xfId="0" applyFont="1"/>
    <xf numFmtId="0" fontId="5" fillId="12" borderId="0" xfId="0" applyFont="1" applyFill="1"/>
    <xf numFmtId="0" fontId="16" fillId="5" borderId="0" xfId="0" applyFont="1" applyFill="1"/>
    <xf numFmtId="0" fontId="5" fillId="13" borderId="0" xfId="0" applyFont="1" applyFill="1"/>
    <xf numFmtId="0" fontId="5" fillId="14" borderId="0" xfId="0" applyFont="1" applyFill="1"/>
    <xf numFmtId="0" fontId="5" fillId="15" borderId="0" xfId="0" applyFont="1" applyFill="1"/>
    <xf numFmtId="0" fontId="17" fillId="2" borderId="1" xfId="0" applyFont="1" applyFill="1" applyBorder="1" applyAlignment="1">
      <alignment horizontal="center"/>
    </xf>
    <xf numFmtId="164" fontId="8" fillId="0" borderId="0" xfId="0" applyNumberFormat="1" applyFont="1"/>
    <xf numFmtId="165" fontId="8" fillId="0" borderId="0" xfId="0" applyNumberFormat="1" applyFont="1"/>
    <xf numFmtId="0" fontId="8" fillId="16" borderId="0" xfId="0" applyFont="1" applyFill="1"/>
    <xf numFmtId="0" fontId="8" fillId="16" borderId="0" xfId="0" applyFont="1" applyFill="1" applyAlignment="1">
      <alignment horizontal="right"/>
    </xf>
    <xf numFmtId="0" fontId="8" fillId="17" borderId="0" xfId="0" applyFont="1" applyFill="1"/>
    <xf numFmtId="0" fontId="8" fillId="17" borderId="0" xfId="0" applyFont="1" applyFill="1" applyAlignment="1">
      <alignment horizontal="right"/>
    </xf>
    <xf numFmtId="166" fontId="8" fillId="0" borderId="0" xfId="0" applyNumberFormat="1" applyFont="1"/>
    <xf numFmtId="167" fontId="8" fillId="0" borderId="0" xfId="0" applyNumberFormat="1" applyFont="1"/>
    <xf numFmtId="0" fontId="18" fillId="0" borderId="0" xfId="0" applyFont="1" applyAlignment="1">
      <alignment vertical="top" wrapText="1"/>
    </xf>
    <xf numFmtId="0" fontId="18" fillId="18" borderId="0" xfId="0" applyFont="1" applyFill="1" applyAlignment="1">
      <alignment vertical="top" wrapText="1"/>
    </xf>
    <xf numFmtId="0" fontId="19" fillId="0" borderId="0" xfId="0" applyFont="1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top" wrapText="1"/>
    </xf>
    <xf numFmtId="0" fontId="18" fillId="18" borderId="0" xfId="0" applyFont="1" applyFill="1" applyAlignment="1">
      <alignment horizontal="center" vertical="top" wrapText="1"/>
    </xf>
    <xf numFmtId="0" fontId="19" fillId="0" borderId="0" xfId="0" applyFont="1" applyAlignment="1">
      <alignment vertical="top" wrapText="1"/>
    </xf>
    <xf numFmtId="0" fontId="18" fillId="19" borderId="0" xfId="0" applyFont="1" applyFill="1" applyAlignment="1">
      <alignment vertical="top" wrapText="1"/>
    </xf>
    <xf numFmtId="0" fontId="18" fillId="20" borderId="0" xfId="0" applyFont="1" applyFill="1" applyAlignment="1">
      <alignment vertical="top" wrapText="1"/>
    </xf>
    <xf numFmtId="0" fontId="18" fillId="21" borderId="0" xfId="0" applyFont="1" applyFill="1" applyAlignment="1">
      <alignment vertical="top" wrapText="1"/>
    </xf>
    <xf numFmtId="0" fontId="18" fillId="22" borderId="0" xfId="0" applyFont="1" applyFill="1" applyAlignment="1">
      <alignment vertical="top" wrapText="1"/>
    </xf>
    <xf numFmtId="0" fontId="18" fillId="23" borderId="0" xfId="0" applyFont="1" applyFill="1" applyAlignment="1">
      <alignment vertical="top" wrapText="1"/>
    </xf>
    <xf numFmtId="0" fontId="20" fillId="20" borderId="0" xfId="0" applyFont="1" applyFill="1" applyAlignment="1">
      <alignment vertical="top" wrapText="1"/>
    </xf>
    <xf numFmtId="0" fontId="20" fillId="18" borderId="0" xfId="0" applyFont="1" applyFill="1" applyAlignment="1">
      <alignment vertical="top" wrapText="1"/>
    </xf>
    <xf numFmtId="0" fontId="20" fillId="0" borderId="0" xfId="0" applyFont="1" applyAlignment="1">
      <alignment vertical="top" wrapText="1"/>
    </xf>
    <xf numFmtId="0" fontId="18" fillId="0" borderId="0" xfId="0" applyFont="1"/>
    <xf numFmtId="0" fontId="18" fillId="19" borderId="0" xfId="0" applyFont="1" applyFill="1" applyAlignment="1">
      <alignment horizontal="center" vertical="top" wrapText="1"/>
    </xf>
    <xf numFmtId="0" fontId="0" fillId="19" borderId="0" xfId="0" applyFill="1"/>
    <xf numFmtId="0" fontId="18" fillId="0" borderId="0" xfId="0" applyFont="1" applyAlignment="1">
      <alignment horizontal="right" vertical="top" wrapText="1"/>
    </xf>
    <xf numFmtId="0" fontId="18" fillId="19" borderId="0" xfId="0" applyFont="1" applyFill="1" applyAlignment="1">
      <alignment horizontal="right" vertical="top" wrapText="1"/>
    </xf>
    <xf numFmtId="0" fontId="18" fillId="23" borderId="0" xfId="0" applyFont="1" applyFill="1" applyAlignment="1">
      <alignment horizontal="right" vertical="top" wrapText="1"/>
    </xf>
    <xf numFmtId="0" fontId="18" fillId="23" borderId="0" xfId="0" applyFont="1" applyFill="1" applyAlignment="1">
      <alignment horizontal="center" vertical="top" wrapText="1"/>
    </xf>
    <xf numFmtId="0" fontId="18" fillId="24" borderId="0" xfId="0" applyFont="1" applyFill="1" applyAlignment="1">
      <alignment vertical="top" wrapText="1"/>
    </xf>
    <xf numFmtId="0" fontId="18" fillId="24" borderId="0" xfId="0" applyFont="1" applyFill="1" applyAlignment="1">
      <alignment horizontal="right" vertical="top" wrapText="1"/>
    </xf>
    <xf numFmtId="0" fontId="18" fillId="24" borderId="0" xfId="0" applyFont="1" applyFill="1" applyAlignment="1">
      <alignment horizontal="center" vertical="top" wrapText="1"/>
    </xf>
    <xf numFmtId="0" fontId="18" fillId="20" borderId="0" xfId="0" applyFont="1" applyFill="1" applyAlignment="1">
      <alignment horizontal="right" vertical="top" wrapText="1"/>
    </xf>
    <xf numFmtId="0" fontId="18" fillId="20" borderId="0" xfId="0" applyFont="1" applyFill="1" applyAlignment="1">
      <alignment horizontal="center" vertical="top" wrapText="1"/>
    </xf>
    <xf numFmtId="0" fontId="18" fillId="21" borderId="0" xfId="0" applyFont="1" applyFill="1" applyAlignment="1">
      <alignment horizontal="right" vertical="top" wrapText="1"/>
    </xf>
    <xf numFmtId="0" fontId="18" fillId="21" borderId="0" xfId="0" applyFont="1" applyFill="1" applyAlignment="1">
      <alignment horizontal="center" vertical="top" wrapText="1"/>
    </xf>
    <xf numFmtId="0" fontId="18" fillId="22" borderId="0" xfId="0" applyFont="1" applyFill="1" applyAlignment="1">
      <alignment horizontal="right" vertical="top" wrapText="1"/>
    </xf>
    <xf numFmtId="0" fontId="18" fillId="22" borderId="0" xfId="0" applyFont="1" applyFill="1" applyAlignment="1">
      <alignment horizontal="center" vertical="top" wrapText="1"/>
    </xf>
    <xf numFmtId="0" fontId="18" fillId="25" borderId="0" xfId="0" applyFont="1" applyFill="1" applyAlignment="1">
      <alignment horizontal="right" vertical="top" wrapText="1"/>
    </xf>
    <xf numFmtId="0" fontId="18" fillId="25" borderId="0" xfId="0" applyFont="1" applyFill="1" applyAlignment="1">
      <alignment vertical="top" wrapText="1"/>
    </xf>
    <xf numFmtId="0" fontId="18" fillId="25" borderId="0" xfId="0" applyFont="1" applyFill="1" applyAlignment="1">
      <alignment horizontal="center" vertical="top" wrapText="1"/>
    </xf>
    <xf numFmtId="0" fontId="18" fillId="26" borderId="0" xfId="0" applyFont="1" applyFill="1" applyAlignment="1">
      <alignment horizontal="right" vertical="top" wrapText="1"/>
    </xf>
    <xf numFmtId="0" fontId="18" fillId="26" borderId="0" xfId="0" applyFont="1" applyFill="1" applyAlignment="1">
      <alignment vertical="top" wrapText="1"/>
    </xf>
    <xf numFmtId="0" fontId="18" fillId="18" borderId="0" xfId="0" applyFont="1" applyFill="1" applyAlignment="1">
      <alignment horizontal="right" vertical="top" wrapText="1"/>
    </xf>
    <xf numFmtId="0" fontId="18" fillId="0" borderId="0" xfId="0" applyFont="1" applyAlignment="1">
      <alignment wrapText="1"/>
    </xf>
    <xf numFmtId="0" fontId="18" fillId="27" borderId="0" xfId="0" applyFont="1" applyFill="1" applyAlignment="1">
      <alignment horizontal="right" vertical="top" wrapText="1"/>
    </xf>
    <xf numFmtId="0" fontId="18" fillId="27" borderId="0" xfId="0" applyFont="1" applyFill="1" applyAlignment="1">
      <alignment vertical="top" wrapText="1"/>
    </xf>
    <xf numFmtId="0" fontId="18" fillId="27" borderId="0" xfId="0" applyFont="1" applyFill="1" applyAlignment="1">
      <alignment horizontal="center" vertical="top" wrapText="1"/>
    </xf>
    <xf numFmtId="0" fontId="0" fillId="27" borderId="0" xfId="0" applyFill="1"/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8" fillId="19" borderId="0" xfId="0" applyFont="1" applyFill="1" applyAlignment="1">
      <alignment horizontal="left" vertical="top" wrapText="1"/>
    </xf>
    <xf numFmtId="0" fontId="18" fillId="23" borderId="0" xfId="0" applyFont="1" applyFill="1" applyAlignment="1">
      <alignment horizontal="left" vertical="top" wrapText="1"/>
    </xf>
    <xf numFmtId="0" fontId="18" fillId="24" borderId="0" xfId="0" applyFont="1" applyFill="1" applyAlignment="1">
      <alignment horizontal="left" vertical="top" wrapText="1"/>
    </xf>
    <xf numFmtId="0" fontId="18" fillId="20" borderId="0" xfId="0" applyFont="1" applyFill="1" applyAlignment="1">
      <alignment horizontal="left" vertical="top" wrapText="1"/>
    </xf>
    <xf numFmtId="0" fontId="18" fillId="22" borderId="0" xfId="0" applyFont="1" applyFill="1" applyAlignment="1">
      <alignment horizontal="left" vertical="top" wrapText="1"/>
    </xf>
    <xf numFmtId="0" fontId="18" fillId="27" borderId="0" xfId="0" applyFont="1" applyFill="1" applyAlignment="1">
      <alignment horizontal="left" vertical="top" wrapText="1"/>
    </xf>
    <xf numFmtId="0" fontId="18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2" fillId="19" borderId="0" xfId="1" applyFill="1" applyAlignment="1">
      <alignment horizontal="left" vertical="top" wrapText="1"/>
    </xf>
    <xf numFmtId="0" fontId="22" fillId="20" borderId="0" xfId="1" applyFill="1" applyAlignment="1">
      <alignment horizontal="left" vertical="top" wrapText="1"/>
    </xf>
    <xf numFmtId="0" fontId="22" fillId="0" borderId="0" xfId="1" applyAlignment="1">
      <alignment horizontal="left" vertical="top" wrapText="1"/>
    </xf>
    <xf numFmtId="0" fontId="22" fillId="24" borderId="0" xfId="1" applyFill="1" applyAlignment="1">
      <alignment horizontal="left" vertical="top" wrapText="1"/>
    </xf>
    <xf numFmtId="0" fontId="22" fillId="23" borderId="0" xfId="1" applyFill="1" applyAlignment="1">
      <alignment horizontal="left" vertical="top" wrapText="1"/>
    </xf>
    <xf numFmtId="0" fontId="22" fillId="27" borderId="0" xfId="1" applyFill="1" applyAlignment="1">
      <alignment horizontal="left" vertical="top" wrapText="1"/>
    </xf>
    <xf numFmtId="0" fontId="18" fillId="0" borderId="0" xfId="0" applyFont="1" applyAlignment="1">
      <alignment wrapText="1"/>
    </xf>
    <xf numFmtId="0" fontId="18" fillId="20" borderId="0" xfId="0" applyFont="1" applyFill="1" applyAlignment="1">
      <alignment vertical="top" wrapText="1"/>
    </xf>
    <xf numFmtId="0" fontId="18" fillId="0" borderId="0" xfId="0" applyFont="1" applyAlignment="1">
      <alignment vertical="top" wrapText="1"/>
    </xf>
    <xf numFmtId="0" fontId="18" fillId="24" borderId="0" xfId="0" applyFont="1" applyFill="1" applyAlignment="1">
      <alignment vertical="top" wrapText="1"/>
    </xf>
    <xf numFmtId="0" fontId="18" fillId="19" borderId="0" xfId="0" applyFont="1" applyFill="1" applyAlignment="1">
      <alignment vertical="top" wrapText="1"/>
    </xf>
    <xf numFmtId="0" fontId="18" fillId="23" borderId="0" xfId="0" applyFont="1" applyFill="1" applyAlignment="1">
      <alignment vertical="top" wrapText="1"/>
    </xf>
    <xf numFmtId="0" fontId="19" fillId="0" borderId="0" xfId="0" applyFont="1" applyAlignment="1">
      <alignment vertical="top" wrapText="1"/>
    </xf>
    <xf numFmtId="0" fontId="18" fillId="21" borderId="0" xfId="0" applyFont="1" applyFill="1" applyAlignment="1">
      <alignment vertical="top" wrapText="1"/>
    </xf>
    <xf numFmtId="0" fontId="18" fillId="22" borderId="0" xfId="0" applyFont="1" applyFill="1" applyAlignment="1">
      <alignment vertical="top" wrapText="1"/>
    </xf>
    <xf numFmtId="0" fontId="18" fillId="18" borderId="0" xfId="0" applyFont="1" applyFill="1" applyAlignment="1">
      <alignment vertical="top" wrapText="1"/>
    </xf>
    <xf numFmtId="0" fontId="18" fillId="25" borderId="0" xfId="0" applyFont="1" applyFill="1" applyAlignment="1">
      <alignment vertical="top" wrapText="1"/>
    </xf>
    <xf numFmtId="0" fontId="18" fillId="27" borderId="0" xfId="0" applyFont="1" applyFill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airnsdiscoverytours.com/wp-content/uploads/2022/10/704731-passengers-having-a-drink-on-the-deck-of-spirit-of-cairns-5.jpg.webp" TargetMode="External"/><Relationship Id="rId18" Type="http://schemas.openxmlformats.org/officeDocument/2006/relationships/hyperlink" Target="https://www.cairnsdiscoverytours.com/wp-content/uploads/2025/09/Evolution.jpeg.webp" TargetMode="External"/><Relationship Id="rId26" Type="http://schemas.openxmlformats.org/officeDocument/2006/relationships/hyperlink" Target="https://www.cairnsdiscoverytours.com/wp-content/uploads/2025/09/CDT_Kuranda_Train_Station.jpg.webp" TargetMode="External"/><Relationship Id="rId21" Type="http://schemas.openxmlformats.org/officeDocument/2006/relationships/hyperlink" Target="https://www.cairnsdiscoverytours.com/wp-content/uploads/2024/10/CDT_Heli_Half_Day_City_Sights.jpg.webp" TargetMode="External"/><Relationship Id="rId34" Type="http://schemas.openxmlformats.org/officeDocument/2006/relationships/hyperlink" Target="https://www.cairnsdiscoverytours.com/wp-content/uploads/2025/09/CDT_Passions_Family-Getting-ready-for-a-snorkel.jpg.webp" TargetMode="External"/><Relationship Id="rId7" Type="http://schemas.openxmlformats.org/officeDocument/2006/relationships/hyperlink" Target="https://www.cairnsdiscoverytours.com/wp-content/uploads/2025/09/CDT_Wildlife_Park.jpg.webp" TargetMode="External"/><Relationship Id="rId12" Type="http://schemas.openxmlformats.org/officeDocument/2006/relationships/hyperlink" Target="https://www.cairnsdiscoverytours.com/wp-content/uploads/2025/09/CDT_Hartleys_Boat_Croc.jpg.webp" TargetMode="External"/><Relationship Id="rId17" Type="http://schemas.openxmlformats.org/officeDocument/2006/relationships/hyperlink" Target="https://www.cairnsdiscoverytours.com/wp-content/uploads/2025/09/CDT_Silverswift_Snorkel.jpg.webp" TargetMode="External"/><Relationship Id="rId25" Type="http://schemas.openxmlformats.org/officeDocument/2006/relationships/hyperlink" Target="https://www.cairnsdiscoverytours.com/wp-content/uploads/2025/09/CDT_Cooktown_Tour_Crossing.jpg.webp" TargetMode="External"/><Relationship Id="rId33" Type="http://schemas.openxmlformats.org/officeDocument/2006/relationships/hyperlink" Target="https://www.cairnsdiscoverytours.com/wp-content/uploads/2025/09/CDT_SUNLOVER_Slide.jpg.webp" TargetMode="External"/><Relationship Id="rId2" Type="http://schemas.openxmlformats.org/officeDocument/2006/relationships/hyperlink" Target="https://www.cairnsdiscoverytours.com/wp-content/uploads/2025/09/CDT_Port_Douglas.jpg.webp" TargetMode="External"/><Relationship Id="rId16" Type="http://schemas.openxmlformats.org/officeDocument/2006/relationships/hyperlink" Target="https://www.cairnsdiscoverytours.com/wp-content/uploads/2025/09/CDT_Paronella_Park_02.jpg.webp" TargetMode="External"/><Relationship Id="rId20" Type="http://schemas.openxmlformats.org/officeDocument/2006/relationships/hyperlink" Target="https://www.cairnsdiscoverytours.com/wp-content/uploads/2025/09/CDT_Heli_Over_Reef_02.jpg.webp" TargetMode="External"/><Relationship Id="rId29" Type="http://schemas.openxmlformats.org/officeDocument/2006/relationships/hyperlink" Target="https://www.cairnsdiscoverytours.com/wp-content/uploads/2025/09/CDT_Down_Under_Wrasse.jpg.webp" TargetMode="External"/><Relationship Id="rId1" Type="http://schemas.openxmlformats.org/officeDocument/2006/relationships/hyperlink" Target="https://www.cairnsdiscoverytours.com/wp-content/uploads/2025/09/CDT_Sunlover_Fitzroy_Island_Glass_Bottom_Bloat.jpg.webp" TargetMode="External"/><Relationship Id="rId6" Type="http://schemas.openxmlformats.org/officeDocument/2006/relationships/hyperlink" Target="https://www.cairnsdiscoverytours.com/wp-content/uploads/2025/09/Janbal-Art-Gallery-TA-DOWN-UNDER-101021-1177-1024x683-1.jpg.webp" TargetMode="External"/><Relationship Id="rId11" Type="http://schemas.openxmlformats.org/officeDocument/2006/relationships/hyperlink" Target="https://www.cairnsdiscoverytours.com/wp-content/uploads/2025/09/CDT_Hartleys_Crock_Feeding.jpg.webp" TargetMode="External"/><Relationship Id="rId24" Type="http://schemas.openxmlformats.org/officeDocument/2006/relationships/hyperlink" Target="https://www.cairnsdiscoverytours.com/wp-content/uploads/2025/12/Outback-Chillagoe.jpg.webp" TargetMode="External"/><Relationship Id="rId32" Type="http://schemas.openxmlformats.org/officeDocument/2006/relationships/hyperlink" Target="https://www.cairnsdiscoverytours.com/wp-content/uploads/2025/09/great-adventures-hero-slide-0422180.jpg.webp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s://www.cairnsdiscoverytours.com/wp-content/uploads/2025/09/CDT_Wildlife_Park_02.jpg.webp" TargetMode="External"/><Relationship Id="rId15" Type="http://schemas.openxmlformats.org/officeDocument/2006/relationships/hyperlink" Target="https://www.cairnsdiscoverytours.com/wp-content/uploads/2025/09/CDT_Paronella_Park.jpg.webp" TargetMode="External"/><Relationship Id="rId23" Type="http://schemas.openxmlformats.org/officeDocument/2006/relationships/hyperlink" Target="https://www.cairnsdiscoverytours.com/wp-content/uploads/2024/02/Atherton_Tablelands_FoodWine_Day_Tour.jpg.webp" TargetMode="External"/><Relationship Id="rId28" Type="http://schemas.openxmlformats.org/officeDocument/2006/relationships/hyperlink" Target="https://www.cairnsdiscoverytours.com/wp-content/uploads/2025/09/CDT_Kuranda_Train_Station.jpg.webp" TargetMode="External"/><Relationship Id="rId36" Type="http://schemas.openxmlformats.org/officeDocument/2006/relationships/hyperlink" Target="https://www.cairnsdiscoverytours.com/wp-content/uploads/2025/09/CDT_Seawalker_Helmet_Dive_Fitzroy_Island_03.jpg.webp" TargetMode="External"/><Relationship Id="rId10" Type="http://schemas.openxmlformats.org/officeDocument/2006/relationships/hyperlink" Target="https://www.cairnsdiscoverytours.com/wp-content/uploads/2025/06/Cassowary-Daintree.jpg.webp" TargetMode="External"/><Relationship Id="rId19" Type="http://schemas.openxmlformats.org/officeDocument/2006/relationships/hyperlink" Target="https://www.cairnsdiscoverytours.com/wp-content/uploads/2025/09/CDT_Dreatime_Diver.jpg.webp" TargetMode="External"/><Relationship Id="rId31" Type="http://schemas.openxmlformats.org/officeDocument/2006/relationships/hyperlink" Target="https://www.cairnsdiscoverytours.com/wp-content/uploads/2025/09/CDT_Billy_T_Beach_Walk.jpg.webp" TargetMode="External"/><Relationship Id="rId4" Type="http://schemas.openxmlformats.org/officeDocument/2006/relationships/hyperlink" Target="https://www.cairnsdiscoverytours.com/wp-content/uploads/2025/12/Photo-in-Rainforest-Images-High-Res-Google-Photos.jpg.webp" TargetMode="External"/><Relationship Id="rId9" Type="http://schemas.openxmlformats.org/officeDocument/2006/relationships/hyperlink" Target="https://www.cairnsdiscoverytours.com/wp-content/uploads/2025/09/CDT_Tropic_Wings_Bus.jpg.webp" TargetMode="External"/><Relationship Id="rId14" Type="http://schemas.openxmlformats.org/officeDocument/2006/relationships/hyperlink" Target="https://www.cairnsdiscoverytours.com/wp-content/uploads/2025/09/CDT_Half_Day_Harbour.jpg.webp" TargetMode="External"/><Relationship Id="rId22" Type="http://schemas.openxmlformats.org/officeDocument/2006/relationships/hyperlink" Target="https://www.cairnsdiscoverytours.com/wp-content/uploads/2025/09/great-barrier-reef-helicopter-scenic-flight-30-6-TEQ.jpg.webp" TargetMode="External"/><Relationship Id="rId27" Type="http://schemas.openxmlformats.org/officeDocument/2006/relationships/hyperlink" Target="https://www.cairnsdiscoverytours.com/wp-content/uploads/2025/09/CDT_Kuranda_Train_Station.jpg.webp" TargetMode="External"/><Relationship Id="rId30" Type="http://schemas.openxmlformats.org/officeDocument/2006/relationships/hyperlink" Target="https://www.cairnsdiscoverytours.com/wp-content/uploads/2025/09/CDT_Billy_T_Rainforest_Walk_02.jpg.webp" TargetMode="External"/><Relationship Id="rId35" Type="http://schemas.openxmlformats.org/officeDocument/2006/relationships/hyperlink" Target="https://www.cairnsdiscoverytours.com/wp-content/uploads/2025/09/CDT_Reef_Magic_Pontoon_Reef.jpg.webp" TargetMode="External"/><Relationship Id="rId8" Type="http://schemas.openxmlformats.org/officeDocument/2006/relationships/hyperlink" Target="https://www.cairnsdiscoverytours.com/wp-content/uploads/2025/09/CDT_Kuku-Yalanji-people.jpg.webp" TargetMode="External"/><Relationship Id="rId3" Type="http://schemas.openxmlformats.org/officeDocument/2006/relationships/hyperlink" Target="https://www.cairnsdiscoverytours.com/wp-content/uploads/2025/09/CDT_Billy_Tea_Boat.jpg.web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O992"/>
  <sheetViews>
    <sheetView tabSelected="1" zoomScale="70" zoomScaleNormal="70" workbookViewId="0">
      <pane ySplit="1" topLeftCell="A2" activePane="bottomLeft" state="frozen"/>
      <selection pane="bottomLeft" activeCell="G14" sqref="G14"/>
    </sheetView>
  </sheetViews>
  <sheetFormatPr defaultColWidth="12.59765625" defaultRowHeight="15.75" customHeight="1"/>
  <cols>
    <col min="1" max="1" width="6.86328125" customWidth="1"/>
    <col min="2" max="2" width="48.46484375" customWidth="1"/>
    <col min="3" max="3" width="9.3984375" customWidth="1"/>
    <col min="4" max="4" width="31.1328125" customWidth="1"/>
    <col min="5" max="5" width="35.3984375" customWidth="1"/>
    <col min="6" max="6" width="20.796875" customWidth="1"/>
    <col min="7" max="7" width="26.3984375" customWidth="1"/>
    <col min="8" max="10" width="12.59765625" customWidth="1"/>
    <col min="11" max="11" width="21.06640625" customWidth="1"/>
    <col min="12" max="12" width="21.33203125" customWidth="1"/>
    <col min="13" max="13" width="19.33203125" customWidth="1"/>
    <col min="14" max="14" width="21.46484375" customWidth="1"/>
    <col min="15" max="15" width="5.3984375" customWidth="1"/>
    <col min="16" max="16" width="85.59765625" style="95" customWidth="1"/>
    <col min="17" max="18" width="27.33203125" style="95" customWidth="1"/>
    <col min="19" max="19" width="94.9296875" customWidth="1"/>
  </cols>
  <sheetData>
    <row r="1" spans="1:41" ht="15.75" customHeight="1">
      <c r="A1" s="49" t="s">
        <v>195</v>
      </c>
      <c r="B1" s="49" t="s">
        <v>196</v>
      </c>
      <c r="C1" s="49" t="s">
        <v>197</v>
      </c>
      <c r="D1" s="49" t="s">
        <v>198</v>
      </c>
      <c r="E1" s="49" t="s">
        <v>199</v>
      </c>
      <c r="F1" s="49" t="s">
        <v>200</v>
      </c>
      <c r="G1" s="49" t="s">
        <v>201</v>
      </c>
      <c r="H1" s="49" t="s">
        <v>202</v>
      </c>
      <c r="I1" s="49" t="s">
        <v>203</v>
      </c>
      <c r="J1" s="49" t="s">
        <v>204</v>
      </c>
      <c r="K1" s="49" t="s">
        <v>205</v>
      </c>
      <c r="L1" s="49" t="s">
        <v>206</v>
      </c>
      <c r="M1" s="49" t="s">
        <v>207</v>
      </c>
      <c r="N1" s="49" t="s">
        <v>208</v>
      </c>
      <c r="O1" s="49" t="s">
        <v>209</v>
      </c>
      <c r="P1" s="85" t="s">
        <v>605</v>
      </c>
      <c r="Q1" s="85" t="s">
        <v>606</v>
      </c>
      <c r="R1" s="85" t="s">
        <v>607</v>
      </c>
      <c r="S1" s="108" t="s">
        <v>210</v>
      </c>
      <c r="T1" s="108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</row>
    <row r="2" spans="1:41" ht="25.5" customHeight="1">
      <c r="A2" s="61">
        <v>5377</v>
      </c>
      <c r="B2" s="43" t="s">
        <v>183</v>
      </c>
      <c r="C2" s="61">
        <v>100</v>
      </c>
      <c r="D2" s="43" t="s">
        <v>211</v>
      </c>
      <c r="E2" s="43" t="s">
        <v>215</v>
      </c>
      <c r="F2" s="43"/>
      <c r="G2" s="43" t="s">
        <v>28</v>
      </c>
      <c r="H2" s="104" t="s">
        <v>10</v>
      </c>
      <c r="I2" s="104"/>
      <c r="J2" s="43" t="s">
        <v>213</v>
      </c>
      <c r="K2" s="47" t="b">
        <v>1</v>
      </c>
      <c r="L2" s="47" t="b">
        <v>1</v>
      </c>
      <c r="M2" s="47" t="b">
        <v>1</v>
      </c>
      <c r="N2" s="47" t="b">
        <v>0</v>
      </c>
      <c r="O2" s="61">
        <v>4.5</v>
      </c>
      <c r="P2" s="86" t="s">
        <v>666</v>
      </c>
      <c r="Q2" s="86" t="s">
        <v>608</v>
      </c>
      <c r="R2" s="86" t="s">
        <v>609</v>
      </c>
      <c r="S2" s="104" t="s">
        <v>184</v>
      </c>
      <c r="T2" s="104"/>
      <c r="U2" s="104"/>
      <c r="V2" s="104"/>
      <c r="W2" s="104"/>
      <c r="X2" s="104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</row>
    <row r="3" spans="1:41" ht="25.5" customHeight="1">
      <c r="A3" s="61">
        <v>4709</v>
      </c>
      <c r="B3" s="43" t="s">
        <v>193</v>
      </c>
      <c r="C3" s="61">
        <v>80</v>
      </c>
      <c r="D3" s="43" t="s">
        <v>211</v>
      </c>
      <c r="E3" s="43" t="s">
        <v>216</v>
      </c>
      <c r="F3" s="43"/>
      <c r="G3" s="43" t="s">
        <v>16</v>
      </c>
      <c r="H3" s="43" t="s">
        <v>10</v>
      </c>
      <c r="I3" s="43" t="s">
        <v>26</v>
      </c>
      <c r="J3" s="43" t="s">
        <v>213</v>
      </c>
      <c r="K3" s="47" t="b">
        <v>1</v>
      </c>
      <c r="L3" s="47" t="b">
        <v>1</v>
      </c>
      <c r="M3" s="47" t="b">
        <v>1</v>
      </c>
      <c r="N3" s="47" t="b">
        <v>0</v>
      </c>
      <c r="O3" s="61">
        <v>10</v>
      </c>
      <c r="P3" s="86" t="s">
        <v>665</v>
      </c>
      <c r="Q3" s="86" t="s">
        <v>610</v>
      </c>
      <c r="R3" s="86" t="s">
        <v>611</v>
      </c>
      <c r="S3" s="104" t="s">
        <v>194</v>
      </c>
      <c r="T3" s="104"/>
      <c r="U3" s="104"/>
      <c r="V3" s="104"/>
      <c r="W3" s="104"/>
      <c r="X3" s="104"/>
      <c r="Y3" s="104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</row>
    <row r="4" spans="1:41" ht="12.75" customHeight="1">
      <c r="A4" s="61">
        <v>4798</v>
      </c>
      <c r="B4" s="43" t="s">
        <v>142</v>
      </c>
      <c r="C4" s="61">
        <v>100</v>
      </c>
      <c r="D4" s="43" t="s">
        <v>211</v>
      </c>
      <c r="E4" s="43" t="s">
        <v>598</v>
      </c>
      <c r="F4" s="43"/>
      <c r="G4" s="43" t="s">
        <v>24</v>
      </c>
      <c r="H4" s="43" t="s">
        <v>35</v>
      </c>
      <c r="I4" s="43" t="s">
        <v>26</v>
      </c>
      <c r="J4" s="43" t="s">
        <v>213</v>
      </c>
      <c r="K4" s="47" t="b">
        <v>1</v>
      </c>
      <c r="L4" s="47" t="b">
        <v>1</v>
      </c>
      <c r="M4" s="47" t="b">
        <v>1</v>
      </c>
      <c r="N4" s="47" t="b">
        <v>0</v>
      </c>
      <c r="O4" s="61">
        <v>4</v>
      </c>
      <c r="P4" s="86" t="s">
        <v>664</v>
      </c>
      <c r="Q4" s="86" t="s">
        <v>612</v>
      </c>
      <c r="R4" s="86" t="s">
        <v>612</v>
      </c>
      <c r="S4" s="104" t="s">
        <v>214</v>
      </c>
      <c r="T4" s="104"/>
      <c r="U4" s="104"/>
      <c r="V4" s="104"/>
      <c r="W4" s="104"/>
      <c r="X4" s="104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</row>
    <row r="5" spans="1:41" ht="25.5" customHeight="1">
      <c r="A5" s="61">
        <v>5327</v>
      </c>
      <c r="B5" s="43" t="s">
        <v>162</v>
      </c>
      <c r="C5" s="61">
        <v>100</v>
      </c>
      <c r="D5" s="43" t="s">
        <v>217</v>
      </c>
      <c r="E5" s="43" t="s">
        <v>218</v>
      </c>
      <c r="F5" s="43" t="s">
        <v>29</v>
      </c>
      <c r="G5" s="43" t="s">
        <v>29</v>
      </c>
      <c r="H5" s="43" t="s">
        <v>10</v>
      </c>
      <c r="I5" s="43" t="s">
        <v>6</v>
      </c>
      <c r="J5" s="43" t="s">
        <v>213</v>
      </c>
      <c r="K5" s="47" t="b">
        <v>1</v>
      </c>
      <c r="L5" s="47" t="b">
        <v>0</v>
      </c>
      <c r="M5" s="47" t="b">
        <v>0</v>
      </c>
      <c r="N5" s="47" t="b">
        <v>0</v>
      </c>
      <c r="O5" s="61">
        <v>11</v>
      </c>
      <c r="P5" s="98" t="s">
        <v>663</v>
      </c>
      <c r="Q5" s="86" t="s">
        <v>613</v>
      </c>
      <c r="R5" s="86" t="s">
        <v>614</v>
      </c>
      <c r="S5" s="104" t="s">
        <v>219</v>
      </c>
      <c r="T5" s="104"/>
      <c r="U5" s="104"/>
      <c r="V5" s="104"/>
      <c r="W5" s="104"/>
      <c r="X5" s="104"/>
      <c r="Y5" s="104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50"/>
      <c r="AK5" s="50"/>
      <c r="AL5" s="50"/>
      <c r="AM5" s="50"/>
      <c r="AN5" s="43"/>
      <c r="AO5" s="43"/>
    </row>
    <row r="6" spans="1:41" ht="25.5" customHeight="1">
      <c r="A6" s="62">
        <v>4680</v>
      </c>
      <c r="B6" s="50" t="s">
        <v>71</v>
      </c>
      <c r="C6" s="62">
        <v>100</v>
      </c>
      <c r="D6" s="50" t="s">
        <v>21</v>
      </c>
      <c r="E6" s="50" t="s">
        <v>220</v>
      </c>
      <c r="F6" s="50" t="s">
        <v>21</v>
      </c>
      <c r="G6" s="50" t="s">
        <v>23</v>
      </c>
      <c r="H6" s="50"/>
      <c r="I6" s="50"/>
      <c r="J6" s="50" t="s">
        <v>223</v>
      </c>
      <c r="K6" s="59" t="b">
        <v>1</v>
      </c>
      <c r="L6" s="59" t="b">
        <v>1</v>
      </c>
      <c r="M6" s="59" t="b">
        <v>1</v>
      </c>
      <c r="N6" s="59" t="b">
        <v>1</v>
      </c>
      <c r="O6" s="62">
        <v>1.5</v>
      </c>
      <c r="P6" s="87" t="s">
        <v>659</v>
      </c>
      <c r="Q6" s="86" t="s">
        <v>615</v>
      </c>
      <c r="R6" s="86" t="s">
        <v>616</v>
      </c>
      <c r="S6" s="106" t="s">
        <v>72</v>
      </c>
      <c r="T6" s="106"/>
      <c r="U6" s="106"/>
      <c r="V6" s="106"/>
      <c r="W6" s="106"/>
      <c r="X6" s="106"/>
      <c r="Y6" s="106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43"/>
      <c r="AO6" s="43"/>
    </row>
    <row r="7" spans="1:41" ht="12.75" customHeight="1">
      <c r="A7" s="62">
        <v>4678</v>
      </c>
      <c r="B7" s="50" t="s">
        <v>76</v>
      </c>
      <c r="C7" s="62">
        <v>100</v>
      </c>
      <c r="D7" s="50" t="s">
        <v>21</v>
      </c>
      <c r="E7" s="50" t="s">
        <v>220</v>
      </c>
      <c r="F7" s="50" t="s">
        <v>21</v>
      </c>
      <c r="G7" s="50" t="s">
        <v>23</v>
      </c>
      <c r="H7" s="50"/>
      <c r="I7" s="50"/>
      <c r="J7" s="50" t="s">
        <v>223</v>
      </c>
      <c r="K7" s="59" t="b">
        <v>1</v>
      </c>
      <c r="L7" s="59" t="b">
        <v>1</v>
      </c>
      <c r="M7" s="59" t="b">
        <v>1</v>
      </c>
      <c r="N7" s="59" t="b">
        <v>1</v>
      </c>
      <c r="O7" s="62">
        <v>1.5</v>
      </c>
      <c r="P7" s="87" t="s">
        <v>660</v>
      </c>
      <c r="Q7" s="86" t="s">
        <v>617</v>
      </c>
      <c r="R7" s="86" t="s">
        <v>618</v>
      </c>
      <c r="S7" s="106" t="s">
        <v>77</v>
      </c>
      <c r="T7" s="106"/>
      <c r="U7" s="106"/>
      <c r="V7" s="106"/>
      <c r="W7" s="106"/>
      <c r="X7" s="106"/>
      <c r="Y7" s="106"/>
      <c r="Z7" s="106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43"/>
      <c r="AO7" s="43"/>
    </row>
    <row r="8" spans="1:41" ht="12.75" customHeight="1">
      <c r="A8" s="62">
        <v>4711</v>
      </c>
      <c r="B8" s="50" t="s">
        <v>189</v>
      </c>
      <c r="C8" s="62">
        <v>100</v>
      </c>
      <c r="D8" s="50" t="s">
        <v>21</v>
      </c>
      <c r="E8" s="50" t="s">
        <v>220</v>
      </c>
      <c r="F8" s="50" t="s">
        <v>21</v>
      </c>
      <c r="G8" s="50" t="s">
        <v>23</v>
      </c>
      <c r="H8" s="50" t="s">
        <v>11</v>
      </c>
      <c r="I8" s="50"/>
      <c r="J8" s="50" t="s">
        <v>223</v>
      </c>
      <c r="K8" s="59" t="b">
        <v>1</v>
      </c>
      <c r="L8" s="59" t="b">
        <v>1</v>
      </c>
      <c r="M8" s="59" t="b">
        <v>1</v>
      </c>
      <c r="N8" s="59" t="b">
        <v>0</v>
      </c>
      <c r="O8" s="62">
        <v>2.5</v>
      </c>
      <c r="P8" s="87" t="s">
        <v>656</v>
      </c>
      <c r="Q8" s="86" t="s">
        <v>611</v>
      </c>
      <c r="R8" s="86" t="s">
        <v>619</v>
      </c>
      <c r="S8" s="106" t="s">
        <v>190</v>
      </c>
      <c r="T8" s="106"/>
      <c r="U8" s="106"/>
      <c r="V8" s="106"/>
      <c r="W8" s="106"/>
      <c r="X8" s="106"/>
      <c r="Y8" s="106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4"/>
      <c r="AK8" s="54"/>
      <c r="AL8" s="54"/>
      <c r="AM8" s="54"/>
      <c r="AN8" s="43"/>
      <c r="AO8" s="43"/>
    </row>
    <row r="9" spans="1:41" ht="12.75" customHeight="1">
      <c r="A9" s="63">
        <v>5162</v>
      </c>
      <c r="B9" s="54" t="s">
        <v>73</v>
      </c>
      <c r="C9" s="63">
        <v>100</v>
      </c>
      <c r="D9" s="54" t="s">
        <v>21</v>
      </c>
      <c r="E9" s="54" t="s">
        <v>599</v>
      </c>
      <c r="F9" s="54" t="s">
        <v>21</v>
      </c>
      <c r="G9" s="54" t="s">
        <v>35</v>
      </c>
      <c r="H9" s="54" t="s">
        <v>23</v>
      </c>
      <c r="I9" s="54" t="s">
        <v>14</v>
      </c>
      <c r="J9" s="54" t="s">
        <v>212</v>
      </c>
      <c r="K9" s="64" t="b">
        <v>1</v>
      </c>
      <c r="L9" s="64" t="b">
        <v>1</v>
      </c>
      <c r="M9" s="64" t="b">
        <v>1</v>
      </c>
      <c r="N9" s="64" t="b">
        <v>0</v>
      </c>
      <c r="O9" s="63">
        <v>5</v>
      </c>
      <c r="P9" s="100" t="s">
        <v>657</v>
      </c>
      <c r="Q9" s="86" t="s">
        <v>620</v>
      </c>
      <c r="R9" s="86" t="s">
        <v>615</v>
      </c>
      <c r="S9" s="107" t="s">
        <v>224</v>
      </c>
      <c r="T9" s="107"/>
      <c r="U9" s="107"/>
      <c r="V9" s="107"/>
      <c r="W9" s="107"/>
      <c r="X9" s="107"/>
      <c r="Y9" s="107"/>
      <c r="Z9" s="107"/>
      <c r="AA9" s="54"/>
      <c r="AB9" s="54"/>
      <c r="AC9" s="54"/>
      <c r="AD9" s="54"/>
      <c r="AE9" s="54"/>
      <c r="AF9" s="54"/>
      <c r="AG9" s="54"/>
      <c r="AH9" s="54"/>
      <c r="AI9" s="54"/>
      <c r="AJ9" s="65"/>
      <c r="AK9" s="65"/>
      <c r="AL9" s="65"/>
      <c r="AM9" s="65"/>
      <c r="AN9" s="43"/>
      <c r="AO9" s="43"/>
    </row>
    <row r="10" spans="1:41" ht="12.75" customHeight="1">
      <c r="A10" s="66">
        <v>5168</v>
      </c>
      <c r="B10" s="65" t="s">
        <v>78</v>
      </c>
      <c r="C10" s="66">
        <v>100</v>
      </c>
      <c r="D10" s="65" t="s">
        <v>21</v>
      </c>
      <c r="E10" s="65" t="s">
        <v>600</v>
      </c>
      <c r="F10" s="65" t="s">
        <v>21</v>
      </c>
      <c r="G10" s="65" t="s">
        <v>23</v>
      </c>
      <c r="H10" s="65" t="s">
        <v>14</v>
      </c>
      <c r="I10" s="65" t="s">
        <v>34</v>
      </c>
      <c r="J10" s="65" t="s">
        <v>213</v>
      </c>
      <c r="K10" s="67" t="b">
        <v>1</v>
      </c>
      <c r="L10" s="67" t="b">
        <v>1</v>
      </c>
      <c r="M10" s="67" t="b">
        <v>0</v>
      </c>
      <c r="N10" s="67" t="b">
        <v>0</v>
      </c>
      <c r="O10" s="66">
        <v>8</v>
      </c>
      <c r="P10" s="89" t="s">
        <v>658</v>
      </c>
      <c r="Q10" s="86" t="s">
        <v>621</v>
      </c>
      <c r="R10" s="86" t="s">
        <v>610</v>
      </c>
      <c r="S10" s="105" t="s">
        <v>221</v>
      </c>
      <c r="T10" s="105"/>
      <c r="U10" s="105"/>
      <c r="V10" s="105"/>
      <c r="W10" s="105"/>
      <c r="X10" s="105"/>
      <c r="Y10" s="10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43"/>
      <c r="AO10" s="43"/>
    </row>
    <row r="11" spans="1:41" ht="12.75" customHeight="1">
      <c r="A11" s="66">
        <v>5165</v>
      </c>
      <c r="B11" s="65" t="s">
        <v>87</v>
      </c>
      <c r="C11" s="66">
        <v>100</v>
      </c>
      <c r="D11" s="65" t="s">
        <v>21</v>
      </c>
      <c r="E11" s="65" t="s">
        <v>600</v>
      </c>
      <c r="F11" s="65" t="s">
        <v>21</v>
      </c>
      <c r="G11" s="65" t="s">
        <v>23</v>
      </c>
      <c r="H11" s="65" t="s">
        <v>14</v>
      </c>
      <c r="I11" s="65" t="s">
        <v>11</v>
      </c>
      <c r="J11" s="65" t="s">
        <v>213</v>
      </c>
      <c r="K11" s="67" t="b">
        <v>1</v>
      </c>
      <c r="L11" s="67" t="b">
        <v>1</v>
      </c>
      <c r="M11" s="67" t="b">
        <v>0</v>
      </c>
      <c r="N11" s="67" t="b">
        <v>0</v>
      </c>
      <c r="O11" s="66">
        <v>9</v>
      </c>
      <c r="P11" s="99" t="s">
        <v>655</v>
      </c>
      <c r="Q11" s="86" t="s">
        <v>622</v>
      </c>
      <c r="R11" s="86" t="s">
        <v>623</v>
      </c>
      <c r="S11" s="105" t="s">
        <v>222</v>
      </c>
      <c r="T11" s="105"/>
      <c r="U11" s="105"/>
      <c r="V11" s="105"/>
      <c r="W11" s="105"/>
      <c r="X11" s="105"/>
      <c r="Y11" s="10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43"/>
      <c r="AO11" s="43"/>
    </row>
    <row r="12" spans="1:41" ht="12.75" customHeight="1">
      <c r="A12" s="66">
        <v>5173</v>
      </c>
      <c r="B12" s="65" t="s">
        <v>133</v>
      </c>
      <c r="C12" s="66">
        <v>100</v>
      </c>
      <c r="D12" s="65" t="s">
        <v>225</v>
      </c>
      <c r="E12" s="65" t="s">
        <v>600</v>
      </c>
      <c r="F12" s="65" t="s">
        <v>21</v>
      </c>
      <c r="G12" s="65" t="s">
        <v>12</v>
      </c>
      <c r="H12" s="65" t="s">
        <v>14</v>
      </c>
      <c r="I12" s="65" t="s">
        <v>34</v>
      </c>
      <c r="J12" s="65" t="s">
        <v>213</v>
      </c>
      <c r="K12" s="67" t="b">
        <v>1</v>
      </c>
      <c r="L12" s="67" t="b">
        <v>1</v>
      </c>
      <c r="M12" s="67" t="b">
        <v>1</v>
      </c>
      <c r="N12" s="67" t="b">
        <v>0</v>
      </c>
      <c r="O12" s="66">
        <v>9</v>
      </c>
      <c r="P12" s="89" t="s">
        <v>654</v>
      </c>
      <c r="Q12" s="86" t="s">
        <v>621</v>
      </c>
      <c r="R12" s="86" t="s">
        <v>612</v>
      </c>
      <c r="S12" s="105" t="s">
        <v>226</v>
      </c>
      <c r="T12" s="105"/>
      <c r="U12" s="105"/>
      <c r="V12" s="105"/>
      <c r="W12" s="105"/>
      <c r="X12" s="105"/>
      <c r="Y12" s="105"/>
      <c r="Z12" s="105"/>
      <c r="AA12" s="65"/>
      <c r="AB12" s="65"/>
      <c r="AC12" s="65"/>
      <c r="AD12" s="65"/>
      <c r="AE12" s="65"/>
      <c r="AF12" s="65"/>
      <c r="AG12" s="65"/>
      <c r="AH12" s="65"/>
      <c r="AI12" s="65"/>
      <c r="AJ12" s="54"/>
      <c r="AK12" s="54"/>
      <c r="AL12" s="54"/>
      <c r="AM12" s="54"/>
      <c r="AN12" s="43"/>
      <c r="AO12" s="43"/>
    </row>
    <row r="13" spans="1:41" ht="25.5" customHeight="1">
      <c r="A13" s="61">
        <v>5345</v>
      </c>
      <c r="B13" s="43" t="s">
        <v>146</v>
      </c>
      <c r="C13" s="61">
        <v>100</v>
      </c>
      <c r="D13" s="43" t="s">
        <v>228</v>
      </c>
      <c r="E13" s="43" t="s">
        <v>229</v>
      </c>
      <c r="F13" s="43"/>
      <c r="G13" s="43" t="s">
        <v>756</v>
      </c>
      <c r="H13" s="43" t="s">
        <v>10</v>
      </c>
      <c r="I13" s="43" t="s">
        <v>23</v>
      </c>
      <c r="J13" s="43" t="s">
        <v>213</v>
      </c>
      <c r="K13" s="47" t="b">
        <v>1</v>
      </c>
      <c r="L13" s="47" t="b">
        <v>1</v>
      </c>
      <c r="M13" s="47" t="b">
        <v>1</v>
      </c>
      <c r="N13" s="47" t="b">
        <v>1</v>
      </c>
      <c r="O13" s="61">
        <v>8</v>
      </c>
      <c r="P13" s="98" t="s">
        <v>653</v>
      </c>
      <c r="Q13" s="86" t="s">
        <v>624</v>
      </c>
      <c r="R13" s="86" t="s">
        <v>625</v>
      </c>
      <c r="S13" s="104" t="s">
        <v>231</v>
      </c>
      <c r="T13" s="104"/>
      <c r="U13" s="104"/>
      <c r="V13" s="104"/>
      <c r="W13" s="104"/>
      <c r="X13" s="104"/>
      <c r="Y13" s="104"/>
      <c r="Z13" s="104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</row>
    <row r="14" spans="1:41" ht="25.5" customHeight="1">
      <c r="A14" s="61">
        <v>5716</v>
      </c>
      <c r="B14" s="43" t="s">
        <v>147</v>
      </c>
      <c r="C14" s="61">
        <v>90</v>
      </c>
      <c r="D14" s="43" t="s">
        <v>228</v>
      </c>
      <c r="E14" s="43" t="s">
        <v>229</v>
      </c>
      <c r="F14" s="43"/>
      <c r="G14" s="43" t="s">
        <v>756</v>
      </c>
      <c r="H14" s="43" t="s">
        <v>23</v>
      </c>
      <c r="I14" s="43"/>
      <c r="J14" s="43" t="s">
        <v>223</v>
      </c>
      <c r="K14" s="47" t="b">
        <v>1</v>
      </c>
      <c r="L14" s="47" t="b">
        <v>1</v>
      </c>
      <c r="M14" s="47" t="b">
        <v>1</v>
      </c>
      <c r="N14" s="47" t="b">
        <v>1</v>
      </c>
      <c r="O14" s="61">
        <v>4</v>
      </c>
      <c r="P14" s="98" t="s">
        <v>652</v>
      </c>
      <c r="Q14" s="86" t="s">
        <v>626</v>
      </c>
      <c r="R14" s="86" t="s">
        <v>627</v>
      </c>
      <c r="S14" s="104" t="s">
        <v>148</v>
      </c>
      <c r="T14" s="104"/>
      <c r="U14" s="104"/>
      <c r="V14" s="104"/>
      <c r="W14" s="104"/>
      <c r="X14" s="104"/>
      <c r="Y14" s="104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4"/>
      <c r="AK14" s="44"/>
      <c r="AL14" s="44"/>
      <c r="AM14" s="44"/>
      <c r="AN14" s="43"/>
      <c r="AO14" s="43"/>
    </row>
    <row r="15" spans="1:41" ht="25.5" customHeight="1">
      <c r="A15" s="68">
        <v>4705</v>
      </c>
      <c r="B15" s="51" t="s">
        <v>85</v>
      </c>
      <c r="C15" s="68">
        <v>70</v>
      </c>
      <c r="D15" s="51" t="s">
        <v>232</v>
      </c>
      <c r="E15" s="51" t="s">
        <v>233</v>
      </c>
      <c r="F15" s="51" t="s">
        <v>15</v>
      </c>
      <c r="G15" s="51" t="s">
        <v>10</v>
      </c>
      <c r="H15" s="51" t="s">
        <v>23</v>
      </c>
      <c r="I15" s="51" t="s">
        <v>22</v>
      </c>
      <c r="J15" s="51" t="s">
        <v>213</v>
      </c>
      <c r="K15" s="69" t="b">
        <v>1</v>
      </c>
      <c r="L15" s="69" t="b">
        <v>1</v>
      </c>
      <c r="M15" s="69" t="b">
        <v>1</v>
      </c>
      <c r="N15" s="69" t="b">
        <v>0</v>
      </c>
      <c r="O15" s="68">
        <v>12</v>
      </c>
      <c r="P15" s="97" t="s">
        <v>650</v>
      </c>
      <c r="Q15" s="86" t="s">
        <v>628</v>
      </c>
      <c r="R15" s="86" t="s">
        <v>629</v>
      </c>
      <c r="S15" s="103" t="s">
        <v>86</v>
      </c>
      <c r="T15" s="103"/>
      <c r="U15" s="103"/>
      <c r="V15" s="103"/>
      <c r="W15" s="103"/>
      <c r="X15" s="103"/>
      <c r="Y15" s="103"/>
      <c r="Z15" s="103"/>
      <c r="AA15" s="51"/>
      <c r="AB15" s="43"/>
      <c r="AC15" s="43"/>
      <c r="AD15" s="43"/>
      <c r="AE15" s="43"/>
      <c r="AF15" s="43"/>
      <c r="AG15" s="43"/>
      <c r="AH15" s="43"/>
      <c r="AI15" s="43"/>
      <c r="AJ15" s="44"/>
      <c r="AK15" s="44"/>
      <c r="AL15" s="44"/>
      <c r="AM15" s="44"/>
      <c r="AN15" s="43"/>
      <c r="AO15" s="43"/>
    </row>
    <row r="16" spans="1:41" ht="12.75" customHeight="1">
      <c r="A16" s="68">
        <v>4707</v>
      </c>
      <c r="B16" s="51" t="s">
        <v>81</v>
      </c>
      <c r="C16" s="68">
        <v>80</v>
      </c>
      <c r="D16" s="51" t="s">
        <v>232</v>
      </c>
      <c r="E16" s="51" t="s">
        <v>233</v>
      </c>
      <c r="F16" s="51" t="s">
        <v>15</v>
      </c>
      <c r="G16" s="51" t="s">
        <v>10</v>
      </c>
      <c r="H16" s="51" t="s">
        <v>26</v>
      </c>
      <c r="I16" s="51" t="s">
        <v>34</v>
      </c>
      <c r="J16" s="51" t="s">
        <v>213</v>
      </c>
      <c r="K16" s="69" t="b">
        <v>1</v>
      </c>
      <c r="L16" s="69" t="b">
        <v>1</v>
      </c>
      <c r="M16" s="69" t="b">
        <v>1</v>
      </c>
      <c r="N16" s="69" t="b">
        <v>0</v>
      </c>
      <c r="O16" s="68">
        <v>12.5</v>
      </c>
      <c r="P16" s="97" t="s">
        <v>649</v>
      </c>
      <c r="Q16" s="86" t="s">
        <v>621</v>
      </c>
      <c r="R16" s="86" t="s">
        <v>630</v>
      </c>
      <c r="S16" s="103" t="s">
        <v>234</v>
      </c>
      <c r="T16" s="103"/>
      <c r="U16" s="103"/>
      <c r="V16" s="103"/>
      <c r="W16" s="103"/>
      <c r="X16" s="103"/>
      <c r="Y16" s="103"/>
      <c r="Z16" s="103"/>
      <c r="AA16" s="103"/>
      <c r="AB16" s="43"/>
      <c r="AC16" s="43"/>
      <c r="AD16" s="43"/>
      <c r="AE16" s="43"/>
      <c r="AF16" s="43"/>
      <c r="AG16" s="43"/>
      <c r="AH16" s="43"/>
      <c r="AI16" s="43"/>
      <c r="AJ16" s="44"/>
      <c r="AK16" s="44"/>
      <c r="AL16" s="44"/>
      <c r="AM16" s="44"/>
      <c r="AN16" s="43"/>
      <c r="AO16" s="43"/>
    </row>
    <row r="17" spans="1:41" ht="25.5" customHeight="1">
      <c r="A17" s="68">
        <v>4721</v>
      </c>
      <c r="B17" s="51" t="s">
        <v>83</v>
      </c>
      <c r="C17" s="68">
        <v>100</v>
      </c>
      <c r="D17" s="51" t="s">
        <v>232</v>
      </c>
      <c r="E17" s="51" t="s">
        <v>233</v>
      </c>
      <c r="F17" s="51" t="s">
        <v>15</v>
      </c>
      <c r="G17" s="51" t="s">
        <v>10</v>
      </c>
      <c r="H17" s="51" t="s">
        <v>26</v>
      </c>
      <c r="I17" s="51" t="s">
        <v>23</v>
      </c>
      <c r="J17" s="51" t="s">
        <v>213</v>
      </c>
      <c r="K17" s="69" t="b">
        <v>1</v>
      </c>
      <c r="L17" s="69" t="b">
        <v>1</v>
      </c>
      <c r="M17" s="69" t="b">
        <v>1</v>
      </c>
      <c r="N17" s="69" t="b">
        <v>0</v>
      </c>
      <c r="O17" s="68">
        <v>12.5</v>
      </c>
      <c r="P17" s="97" t="s">
        <v>651</v>
      </c>
      <c r="Q17" s="86" t="s">
        <v>631</v>
      </c>
      <c r="R17" s="86" t="s">
        <v>632</v>
      </c>
      <c r="S17" s="103" t="s">
        <v>84</v>
      </c>
      <c r="T17" s="103"/>
      <c r="U17" s="103"/>
      <c r="V17" s="103"/>
      <c r="W17" s="103"/>
      <c r="X17" s="103"/>
      <c r="Y17" s="103"/>
      <c r="Z17" s="103"/>
      <c r="AA17" s="51"/>
      <c r="AB17" s="43"/>
      <c r="AC17" s="43"/>
      <c r="AD17" s="43"/>
      <c r="AE17" s="43"/>
      <c r="AF17" s="43"/>
      <c r="AG17" s="43"/>
      <c r="AH17" s="43"/>
      <c r="AI17" s="43"/>
      <c r="AJ17" s="44"/>
      <c r="AK17" s="44"/>
      <c r="AL17" s="44"/>
      <c r="AM17" s="44"/>
      <c r="AN17" s="43"/>
      <c r="AO17" s="43"/>
    </row>
    <row r="18" spans="1:41" ht="25.5" customHeight="1">
      <c r="A18" s="68">
        <v>5326</v>
      </c>
      <c r="B18" s="51" t="s">
        <v>175</v>
      </c>
      <c r="C18" s="68">
        <v>100</v>
      </c>
      <c r="D18" s="51" t="s">
        <v>232</v>
      </c>
      <c r="E18" s="51" t="s">
        <v>233</v>
      </c>
      <c r="F18" s="51" t="s">
        <v>15</v>
      </c>
      <c r="G18" s="51" t="s">
        <v>10</v>
      </c>
      <c r="H18" s="51" t="s">
        <v>23</v>
      </c>
      <c r="I18" s="51" t="s">
        <v>26</v>
      </c>
      <c r="J18" s="51" t="s">
        <v>213</v>
      </c>
      <c r="K18" s="69" t="b">
        <v>1</v>
      </c>
      <c r="L18" s="69" t="b">
        <v>1</v>
      </c>
      <c r="M18" s="69" t="b">
        <v>1</v>
      </c>
      <c r="N18" s="69" t="b">
        <v>0</v>
      </c>
      <c r="O18" s="68">
        <v>10</v>
      </c>
      <c r="P18" s="97" t="s">
        <v>648</v>
      </c>
      <c r="Q18" s="86" t="s">
        <v>631</v>
      </c>
      <c r="R18" s="86" t="s">
        <v>632</v>
      </c>
      <c r="S18" s="103" t="s">
        <v>82</v>
      </c>
      <c r="T18" s="103"/>
      <c r="U18" s="103"/>
      <c r="V18" s="103"/>
      <c r="W18" s="103"/>
      <c r="X18" s="103"/>
      <c r="Y18" s="51"/>
      <c r="Z18" s="51"/>
      <c r="AA18" s="51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</row>
    <row r="19" spans="1:41" ht="25.5" customHeight="1">
      <c r="A19" s="68">
        <v>4475</v>
      </c>
      <c r="B19" s="51" t="s">
        <v>95</v>
      </c>
      <c r="C19" s="68">
        <v>80</v>
      </c>
      <c r="D19" s="51" t="s">
        <v>232</v>
      </c>
      <c r="E19" s="51" t="s">
        <v>233</v>
      </c>
      <c r="F19" s="51" t="s">
        <v>15</v>
      </c>
      <c r="G19" s="51" t="s">
        <v>17</v>
      </c>
      <c r="H19" s="51" t="s">
        <v>10</v>
      </c>
      <c r="I19" s="51" t="s">
        <v>32</v>
      </c>
      <c r="J19" s="51" t="s">
        <v>213</v>
      </c>
      <c r="K19" s="69" t="b">
        <v>1</v>
      </c>
      <c r="L19" s="69" t="b">
        <v>1</v>
      </c>
      <c r="M19" s="69" t="b">
        <v>1</v>
      </c>
      <c r="N19" s="69" t="b">
        <v>0</v>
      </c>
      <c r="O19" s="68">
        <v>7</v>
      </c>
      <c r="P19" s="97" t="s">
        <v>647</v>
      </c>
      <c r="Q19" s="86" t="s">
        <v>633</v>
      </c>
      <c r="R19" s="86" t="s">
        <v>634</v>
      </c>
      <c r="S19" s="103" t="s">
        <v>96</v>
      </c>
      <c r="T19" s="103"/>
      <c r="U19" s="103"/>
      <c r="V19" s="103"/>
      <c r="W19" s="103"/>
      <c r="X19" s="103"/>
      <c r="Y19" s="103"/>
      <c r="Z19" s="51"/>
      <c r="AA19" s="51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</row>
    <row r="20" spans="1:41" ht="25.5" customHeight="1">
      <c r="A20" s="68">
        <v>4810</v>
      </c>
      <c r="B20" s="51" t="s">
        <v>100</v>
      </c>
      <c r="C20" s="68">
        <v>85</v>
      </c>
      <c r="D20" s="51" t="s">
        <v>232</v>
      </c>
      <c r="E20" s="51" t="s">
        <v>233</v>
      </c>
      <c r="F20" s="51" t="s">
        <v>15</v>
      </c>
      <c r="G20" s="51" t="s">
        <v>26</v>
      </c>
      <c r="H20" s="51" t="s">
        <v>10</v>
      </c>
      <c r="I20" s="51" t="s">
        <v>23</v>
      </c>
      <c r="J20" s="51" t="s">
        <v>213</v>
      </c>
      <c r="K20" s="69" t="b">
        <v>1</v>
      </c>
      <c r="L20" s="69" t="b">
        <v>1</v>
      </c>
      <c r="M20" s="69" t="b">
        <v>1</v>
      </c>
      <c r="N20" s="69" t="b">
        <v>0</v>
      </c>
      <c r="O20" s="68">
        <v>10.5</v>
      </c>
      <c r="P20" s="97" t="s">
        <v>646</v>
      </c>
      <c r="Q20" s="86" t="s">
        <v>635</v>
      </c>
      <c r="R20" s="86" t="s">
        <v>636</v>
      </c>
      <c r="S20" s="103" t="s">
        <v>235</v>
      </c>
      <c r="T20" s="103"/>
      <c r="U20" s="103"/>
      <c r="V20" s="103"/>
      <c r="W20" s="103"/>
      <c r="X20" s="103"/>
      <c r="Y20" s="103"/>
      <c r="Z20" s="103"/>
      <c r="AA20" s="51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</row>
    <row r="21" spans="1:41" ht="25.5" customHeight="1">
      <c r="A21" s="68">
        <v>5159</v>
      </c>
      <c r="B21" s="51" t="s">
        <v>99</v>
      </c>
      <c r="C21" s="68">
        <v>95</v>
      </c>
      <c r="D21" s="51" t="s">
        <v>232</v>
      </c>
      <c r="E21" s="51" t="s">
        <v>233</v>
      </c>
      <c r="F21" s="51" t="s">
        <v>15</v>
      </c>
      <c r="G21" s="51" t="s">
        <v>31</v>
      </c>
      <c r="H21" s="51" t="s">
        <v>12</v>
      </c>
      <c r="I21" s="51" t="s">
        <v>34</v>
      </c>
      <c r="J21" s="51" t="s">
        <v>213</v>
      </c>
      <c r="K21" s="69" t="b">
        <v>1</v>
      </c>
      <c r="L21" s="69" t="b">
        <v>1</v>
      </c>
      <c r="M21" s="69" t="b">
        <v>1</v>
      </c>
      <c r="N21" s="69" t="b">
        <v>1</v>
      </c>
      <c r="O21" s="68">
        <v>11.5</v>
      </c>
      <c r="P21" s="97" t="s">
        <v>644</v>
      </c>
      <c r="Q21" s="86" t="s">
        <v>637</v>
      </c>
      <c r="R21" s="86" t="s">
        <v>610</v>
      </c>
      <c r="S21" s="103" t="s">
        <v>236</v>
      </c>
      <c r="T21" s="103"/>
      <c r="U21" s="103"/>
      <c r="V21" s="103"/>
      <c r="W21" s="103"/>
      <c r="X21" s="103"/>
      <c r="Y21" s="103"/>
      <c r="Z21" s="51"/>
      <c r="AA21" s="51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</row>
    <row r="22" spans="1:41" ht="25.5" customHeight="1">
      <c r="A22" s="68">
        <v>5114</v>
      </c>
      <c r="B22" s="51" t="s">
        <v>237</v>
      </c>
      <c r="C22" s="68">
        <v>60</v>
      </c>
      <c r="D22" s="51" t="s">
        <v>232</v>
      </c>
      <c r="E22" s="51" t="s">
        <v>233</v>
      </c>
      <c r="F22" s="51" t="s">
        <v>15</v>
      </c>
      <c r="G22" s="51" t="s">
        <v>10</v>
      </c>
      <c r="H22" s="51" t="s">
        <v>26</v>
      </c>
      <c r="I22" s="51" t="s">
        <v>6</v>
      </c>
      <c r="J22" s="51" t="s">
        <v>213</v>
      </c>
      <c r="K22" s="69" t="b">
        <v>1</v>
      </c>
      <c r="L22" s="69" t="b">
        <v>1</v>
      </c>
      <c r="M22" s="69" t="b">
        <v>1</v>
      </c>
      <c r="N22" s="69" t="b">
        <v>0</v>
      </c>
      <c r="O22" s="68">
        <v>9.5</v>
      </c>
      <c r="P22" s="97" t="s">
        <v>645</v>
      </c>
      <c r="Q22" s="86" t="s">
        <v>638</v>
      </c>
      <c r="R22" s="86" t="s">
        <v>639</v>
      </c>
      <c r="S22" s="103" t="s">
        <v>238</v>
      </c>
      <c r="T22" s="103"/>
      <c r="U22" s="103"/>
      <c r="V22" s="103"/>
      <c r="W22" s="103"/>
      <c r="X22" s="103"/>
      <c r="Y22" s="103"/>
      <c r="Z22" s="103"/>
      <c r="AA22" s="51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</row>
    <row r="23" spans="1:41" ht="25.5" customHeight="1">
      <c r="A23" s="68">
        <v>4485</v>
      </c>
      <c r="B23" s="51" t="s">
        <v>97</v>
      </c>
      <c r="C23" s="68">
        <v>90</v>
      </c>
      <c r="D23" s="51" t="s">
        <v>232</v>
      </c>
      <c r="E23" s="51" t="s">
        <v>233</v>
      </c>
      <c r="F23" s="51" t="s">
        <v>15</v>
      </c>
      <c r="G23" s="51" t="s">
        <v>26</v>
      </c>
      <c r="H23" s="51" t="s">
        <v>10</v>
      </c>
      <c r="I23" s="51" t="s">
        <v>23</v>
      </c>
      <c r="J23" s="51" t="s">
        <v>213</v>
      </c>
      <c r="K23" s="69" t="b">
        <v>1</v>
      </c>
      <c r="L23" s="69" t="b">
        <v>1</v>
      </c>
      <c r="M23" s="69" t="b">
        <v>1</v>
      </c>
      <c r="N23" s="69" t="b">
        <v>0</v>
      </c>
      <c r="O23" s="68">
        <v>9</v>
      </c>
      <c r="P23" s="97" t="s">
        <v>643</v>
      </c>
      <c r="Q23" s="86" t="s">
        <v>631</v>
      </c>
      <c r="R23" s="86" t="s">
        <v>632</v>
      </c>
      <c r="S23" s="103" t="s">
        <v>98</v>
      </c>
      <c r="T23" s="103"/>
      <c r="U23" s="103"/>
      <c r="V23" s="103"/>
      <c r="W23" s="103"/>
      <c r="X23" s="103"/>
      <c r="Y23" s="103"/>
      <c r="Z23" s="51"/>
      <c r="AA23" s="51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</row>
    <row r="24" spans="1:41" ht="25.5" customHeight="1">
      <c r="A24" s="62">
        <v>4817</v>
      </c>
      <c r="B24" s="50" t="s">
        <v>110</v>
      </c>
      <c r="C24" s="62">
        <v>100</v>
      </c>
      <c r="D24" s="50" t="s">
        <v>111</v>
      </c>
      <c r="E24" s="50" t="s">
        <v>239</v>
      </c>
      <c r="F24" s="50" t="s">
        <v>36</v>
      </c>
      <c r="G24" s="50" t="s">
        <v>31</v>
      </c>
      <c r="H24" s="50" t="s">
        <v>12</v>
      </c>
      <c r="I24" s="50" t="s">
        <v>702</v>
      </c>
      <c r="J24" s="50" t="s">
        <v>213</v>
      </c>
      <c r="K24" s="59" t="b">
        <v>1</v>
      </c>
      <c r="L24" s="59" t="b">
        <v>1</v>
      </c>
      <c r="M24" s="59" t="b">
        <v>1</v>
      </c>
      <c r="N24" s="59" t="b">
        <v>1</v>
      </c>
      <c r="O24" s="62">
        <v>7</v>
      </c>
      <c r="P24" s="96" t="s">
        <v>642</v>
      </c>
      <c r="Q24" s="86" t="s">
        <v>640</v>
      </c>
      <c r="R24" s="86" t="s">
        <v>641</v>
      </c>
      <c r="S24" s="106" t="s">
        <v>240</v>
      </c>
      <c r="T24" s="106"/>
      <c r="U24" s="106"/>
      <c r="V24" s="106"/>
      <c r="W24" s="106"/>
      <c r="X24" s="106"/>
      <c r="Y24" s="106"/>
      <c r="Z24" s="50"/>
      <c r="AA24" s="50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</row>
    <row r="25" spans="1:41" ht="25.5" customHeight="1">
      <c r="A25" s="62">
        <v>4734</v>
      </c>
      <c r="B25" s="50" t="s">
        <v>111</v>
      </c>
      <c r="C25" s="62">
        <v>90</v>
      </c>
      <c r="D25" s="50" t="s">
        <v>111</v>
      </c>
      <c r="E25" s="50" t="s">
        <v>239</v>
      </c>
      <c r="F25" s="50" t="s">
        <v>36</v>
      </c>
      <c r="G25" s="50" t="s">
        <v>31</v>
      </c>
      <c r="H25" s="50" t="s">
        <v>6</v>
      </c>
      <c r="I25" s="50" t="s">
        <v>10</v>
      </c>
      <c r="J25" s="50" t="s">
        <v>213</v>
      </c>
      <c r="K25" s="59" t="b">
        <v>1</v>
      </c>
      <c r="L25" s="59" t="b">
        <v>1</v>
      </c>
      <c r="M25" s="59" t="b">
        <v>1</v>
      </c>
      <c r="N25" s="59" t="b">
        <v>1</v>
      </c>
      <c r="O25" s="62">
        <v>6</v>
      </c>
      <c r="P25" s="87" t="s">
        <v>669</v>
      </c>
      <c r="Q25" s="86" t="s">
        <v>667</v>
      </c>
      <c r="R25" s="86" t="s">
        <v>668</v>
      </c>
      <c r="S25" s="106" t="s">
        <v>112</v>
      </c>
      <c r="T25" s="106"/>
      <c r="U25" s="106"/>
      <c r="V25" s="106"/>
      <c r="W25" s="106"/>
      <c r="X25" s="106"/>
      <c r="Y25" s="106"/>
      <c r="Z25" s="50"/>
      <c r="AA25" s="50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</row>
    <row r="26" spans="1:41" ht="25.5" customHeight="1">
      <c r="A26" s="62">
        <v>4674</v>
      </c>
      <c r="B26" s="50" t="s">
        <v>107</v>
      </c>
      <c r="C26" s="62">
        <v>100</v>
      </c>
      <c r="D26" s="50" t="s">
        <v>111</v>
      </c>
      <c r="E26" s="50" t="s">
        <v>239</v>
      </c>
      <c r="F26" s="50" t="s">
        <v>36</v>
      </c>
      <c r="G26" s="50" t="s">
        <v>12</v>
      </c>
      <c r="H26" s="50" t="s">
        <v>10</v>
      </c>
      <c r="I26" s="50" t="s">
        <v>31</v>
      </c>
      <c r="J26" s="50" t="s">
        <v>213</v>
      </c>
      <c r="K26" s="59" t="b">
        <v>1</v>
      </c>
      <c r="L26" s="59" t="b">
        <v>1</v>
      </c>
      <c r="M26" s="59" t="b">
        <v>1</v>
      </c>
      <c r="N26" s="59" t="b">
        <v>1</v>
      </c>
      <c r="O26" s="62">
        <v>6.25</v>
      </c>
      <c r="P26" s="96" t="s">
        <v>701</v>
      </c>
      <c r="Q26" s="86" t="s">
        <v>685</v>
      </c>
      <c r="R26" s="86" t="s">
        <v>686</v>
      </c>
      <c r="S26" s="106" t="s">
        <v>108</v>
      </c>
      <c r="T26" s="106"/>
      <c r="U26" s="106"/>
      <c r="V26" s="106"/>
      <c r="W26" s="106"/>
      <c r="X26" s="106"/>
      <c r="Y26" s="106"/>
      <c r="Z26" s="50"/>
      <c r="AA26" s="50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</row>
    <row r="27" spans="1:41" ht="25.5" customHeight="1">
      <c r="A27" s="62">
        <v>4668</v>
      </c>
      <c r="B27" s="50" t="s">
        <v>242</v>
      </c>
      <c r="C27" s="62">
        <v>90</v>
      </c>
      <c r="D27" s="50" t="s">
        <v>111</v>
      </c>
      <c r="E27" s="50" t="s">
        <v>239</v>
      </c>
      <c r="F27" s="50" t="s">
        <v>36</v>
      </c>
      <c r="G27" s="50" t="s">
        <v>31</v>
      </c>
      <c r="H27" s="50" t="s">
        <v>6</v>
      </c>
      <c r="I27" s="50" t="s">
        <v>10</v>
      </c>
      <c r="J27" s="50" t="s">
        <v>213</v>
      </c>
      <c r="K27" s="59" t="b">
        <v>1</v>
      </c>
      <c r="L27" s="59" t="b">
        <v>1</v>
      </c>
      <c r="M27" s="59" t="b">
        <v>1</v>
      </c>
      <c r="N27" s="59" t="b">
        <v>1</v>
      </c>
      <c r="O27" s="62">
        <v>6.25</v>
      </c>
      <c r="P27" s="96" t="s">
        <v>700</v>
      </c>
      <c r="Q27" s="86" t="s">
        <v>685</v>
      </c>
      <c r="R27" s="86" t="s">
        <v>686</v>
      </c>
      <c r="S27" s="106" t="s">
        <v>243</v>
      </c>
      <c r="T27" s="106"/>
      <c r="U27" s="106"/>
      <c r="V27" s="106"/>
      <c r="W27" s="106"/>
      <c r="X27" s="106"/>
      <c r="Y27" s="106"/>
      <c r="Z27" s="106"/>
      <c r="AA27" s="50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</row>
    <row r="28" spans="1:41" ht="25.5" customHeight="1">
      <c r="A28" s="62">
        <v>4670</v>
      </c>
      <c r="B28" s="50" t="s">
        <v>244</v>
      </c>
      <c r="C28" s="62">
        <v>80</v>
      </c>
      <c r="D28" s="50" t="s">
        <v>111</v>
      </c>
      <c r="E28" s="50" t="s">
        <v>239</v>
      </c>
      <c r="F28" s="50" t="s">
        <v>36</v>
      </c>
      <c r="G28" s="50" t="s">
        <v>31</v>
      </c>
      <c r="H28" s="50" t="s">
        <v>6</v>
      </c>
      <c r="I28" s="50" t="s">
        <v>10</v>
      </c>
      <c r="J28" s="50" t="s">
        <v>213</v>
      </c>
      <c r="K28" s="59" t="b">
        <v>1</v>
      </c>
      <c r="L28" s="59" t="b">
        <v>1</v>
      </c>
      <c r="M28" s="59" t="b">
        <v>1</v>
      </c>
      <c r="N28" s="59" t="b">
        <v>1</v>
      </c>
      <c r="O28" s="62">
        <v>6.25</v>
      </c>
      <c r="P28" s="96" t="s">
        <v>701</v>
      </c>
      <c r="Q28" s="86" t="s">
        <v>685</v>
      </c>
      <c r="R28" s="86" t="s">
        <v>686</v>
      </c>
      <c r="S28" s="106" t="s">
        <v>245</v>
      </c>
      <c r="T28" s="106"/>
      <c r="U28" s="106"/>
      <c r="V28" s="106"/>
      <c r="W28" s="106"/>
      <c r="X28" s="106"/>
      <c r="Y28" s="106"/>
      <c r="Z28" s="106"/>
      <c r="AA28" s="50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</row>
    <row r="29" spans="1:41" ht="25.5" customHeight="1">
      <c r="A29" s="62">
        <v>4672</v>
      </c>
      <c r="B29" s="50" t="s">
        <v>246</v>
      </c>
      <c r="C29" s="62">
        <v>80</v>
      </c>
      <c r="D29" s="50" t="s">
        <v>111</v>
      </c>
      <c r="E29" s="50" t="s">
        <v>239</v>
      </c>
      <c r="F29" s="50" t="s">
        <v>36</v>
      </c>
      <c r="G29" s="50" t="s">
        <v>31</v>
      </c>
      <c r="H29" s="50" t="s">
        <v>6</v>
      </c>
      <c r="I29" s="50" t="s">
        <v>10</v>
      </c>
      <c r="J29" s="50" t="s">
        <v>213</v>
      </c>
      <c r="K29" s="59" t="b">
        <v>1</v>
      </c>
      <c r="L29" s="59" t="b">
        <v>1</v>
      </c>
      <c r="M29" s="59" t="b">
        <v>1</v>
      </c>
      <c r="N29" s="59" t="b">
        <v>1</v>
      </c>
      <c r="O29" s="62">
        <v>6.25</v>
      </c>
      <c r="P29" s="96" t="s">
        <v>690</v>
      </c>
      <c r="Q29" s="86" t="s">
        <v>685</v>
      </c>
      <c r="R29" s="86" t="s">
        <v>686</v>
      </c>
      <c r="S29" s="106" t="s">
        <v>247</v>
      </c>
      <c r="T29" s="106"/>
      <c r="U29" s="106"/>
      <c r="V29" s="106"/>
      <c r="W29" s="106"/>
      <c r="X29" s="106"/>
      <c r="Y29" s="106"/>
      <c r="Z29" s="106"/>
      <c r="AA29" s="50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</row>
    <row r="30" spans="1:41" ht="25.5" customHeight="1">
      <c r="A30" s="62">
        <v>4688</v>
      </c>
      <c r="B30" s="50" t="s">
        <v>248</v>
      </c>
      <c r="C30" s="62">
        <v>70</v>
      </c>
      <c r="D30" s="50" t="s">
        <v>111</v>
      </c>
      <c r="E30" s="50" t="s">
        <v>239</v>
      </c>
      <c r="F30" s="50" t="s">
        <v>36</v>
      </c>
      <c r="G30" s="50" t="s">
        <v>31</v>
      </c>
      <c r="H30" s="50" t="s">
        <v>34</v>
      </c>
      <c r="I30" s="50" t="s">
        <v>10</v>
      </c>
      <c r="J30" s="50" t="s">
        <v>213</v>
      </c>
      <c r="K30" s="59" t="b">
        <v>1</v>
      </c>
      <c r="L30" s="59" t="b">
        <v>1</v>
      </c>
      <c r="M30" s="59" t="b">
        <v>1</v>
      </c>
      <c r="N30" s="59" t="b">
        <v>1</v>
      </c>
      <c r="O30" s="62">
        <v>6.25</v>
      </c>
      <c r="P30" s="96" t="s">
        <v>703</v>
      </c>
      <c r="Q30" s="86" t="s">
        <v>685</v>
      </c>
      <c r="R30" s="86" t="s">
        <v>686</v>
      </c>
      <c r="S30" s="106" t="s">
        <v>249</v>
      </c>
      <c r="T30" s="106"/>
      <c r="U30" s="106"/>
      <c r="V30" s="106"/>
      <c r="W30" s="106"/>
      <c r="X30" s="106"/>
      <c r="Y30" s="106"/>
      <c r="Z30" s="50"/>
      <c r="AA30" s="50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</row>
    <row r="31" spans="1:41" ht="25.5" customHeight="1">
      <c r="A31" s="70">
        <v>4732</v>
      </c>
      <c r="B31" s="52" t="s">
        <v>114</v>
      </c>
      <c r="C31" s="70">
        <v>100</v>
      </c>
      <c r="D31" s="52" t="s">
        <v>114</v>
      </c>
      <c r="E31" s="52" t="s">
        <v>241</v>
      </c>
      <c r="F31" s="52" t="s">
        <v>36</v>
      </c>
      <c r="G31" s="52" t="s">
        <v>31</v>
      </c>
      <c r="H31" s="52" t="s">
        <v>35</v>
      </c>
      <c r="I31" s="52" t="s">
        <v>34</v>
      </c>
      <c r="J31" s="52" t="s">
        <v>212</v>
      </c>
      <c r="K31" s="71" t="b">
        <v>1</v>
      </c>
      <c r="L31" s="71" t="b">
        <v>1</v>
      </c>
      <c r="M31" s="71" t="b">
        <v>1</v>
      </c>
      <c r="N31" s="71" t="b">
        <v>1</v>
      </c>
      <c r="O31" s="70">
        <v>4</v>
      </c>
      <c r="P31" s="96" t="s">
        <v>704</v>
      </c>
      <c r="Q31" s="86" t="s">
        <v>685</v>
      </c>
      <c r="R31" s="86" t="s">
        <v>686</v>
      </c>
      <c r="S31" s="109" t="s">
        <v>115</v>
      </c>
      <c r="T31" s="109"/>
      <c r="U31" s="109"/>
      <c r="V31" s="109"/>
      <c r="W31" s="109"/>
      <c r="X31" s="109"/>
      <c r="Y31" s="109"/>
      <c r="Z31" s="109"/>
      <c r="AA31" s="52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</row>
    <row r="32" spans="1:41" ht="25.5" customHeight="1">
      <c r="A32" s="72">
        <v>5369</v>
      </c>
      <c r="B32" s="53" t="s">
        <v>93</v>
      </c>
      <c r="C32" s="72">
        <v>100</v>
      </c>
      <c r="D32" s="53" t="s">
        <v>250</v>
      </c>
      <c r="E32" s="53" t="s">
        <v>251</v>
      </c>
      <c r="F32" s="53"/>
      <c r="G32" s="53" t="s">
        <v>19</v>
      </c>
      <c r="H32" s="53" t="s">
        <v>7</v>
      </c>
      <c r="I32" s="53" t="s">
        <v>12</v>
      </c>
      <c r="J32" s="53" t="s">
        <v>213</v>
      </c>
      <c r="K32" s="73" t="b">
        <v>1</v>
      </c>
      <c r="L32" s="73" t="b">
        <v>1</v>
      </c>
      <c r="M32" s="73" t="b">
        <v>1</v>
      </c>
      <c r="N32" s="73" t="b">
        <v>1</v>
      </c>
      <c r="O32" s="72">
        <v>7.5</v>
      </c>
      <c r="P32" s="91" t="s">
        <v>699</v>
      </c>
      <c r="Q32" s="86" t="s">
        <v>706</v>
      </c>
      <c r="R32" s="86"/>
      <c r="S32" s="110" t="s">
        <v>252</v>
      </c>
      <c r="T32" s="110"/>
      <c r="U32" s="110"/>
      <c r="V32" s="110"/>
      <c r="W32" s="110"/>
      <c r="X32" s="110"/>
      <c r="Y32" s="110"/>
      <c r="Z32" s="53"/>
      <c r="AA32" s="5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</row>
    <row r="33" spans="1:41" ht="25.5" customHeight="1">
      <c r="A33" s="72">
        <v>5266</v>
      </c>
      <c r="B33" s="53" t="s">
        <v>94</v>
      </c>
      <c r="C33" s="72">
        <v>90</v>
      </c>
      <c r="D33" s="53" t="s">
        <v>250</v>
      </c>
      <c r="E33" s="53" t="s">
        <v>251</v>
      </c>
      <c r="F33" s="53"/>
      <c r="G33" s="53" t="s">
        <v>19</v>
      </c>
      <c r="H33" s="110" t="s">
        <v>7</v>
      </c>
      <c r="I33" s="110"/>
      <c r="J33" s="53" t="s">
        <v>213</v>
      </c>
      <c r="K33" s="73" t="b">
        <v>1</v>
      </c>
      <c r="L33" s="73" t="b">
        <v>1</v>
      </c>
      <c r="M33" s="73" t="b">
        <v>1</v>
      </c>
      <c r="N33" s="73" t="b">
        <v>1</v>
      </c>
      <c r="O33" s="72">
        <v>6</v>
      </c>
      <c r="P33" s="91" t="s">
        <v>705</v>
      </c>
      <c r="Q33" s="86" t="s">
        <v>707</v>
      </c>
      <c r="R33" s="86" t="s">
        <v>708</v>
      </c>
      <c r="S33" s="110" t="s">
        <v>253</v>
      </c>
      <c r="T33" s="110"/>
      <c r="U33" s="110"/>
      <c r="V33" s="110"/>
      <c r="W33" s="110"/>
      <c r="X33" s="110"/>
      <c r="Y33" s="110"/>
      <c r="Z33" s="110"/>
      <c r="AA33" s="5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</row>
    <row r="34" spans="1:41" ht="25.5" customHeight="1">
      <c r="A34" s="72">
        <v>5274</v>
      </c>
      <c r="B34" s="53" t="s">
        <v>120</v>
      </c>
      <c r="C34" s="72">
        <v>80</v>
      </c>
      <c r="D34" s="53" t="s">
        <v>250</v>
      </c>
      <c r="E34" s="53" t="s">
        <v>251</v>
      </c>
      <c r="F34" s="53"/>
      <c r="G34" s="53" t="s">
        <v>19</v>
      </c>
      <c r="H34" s="53" t="s">
        <v>7</v>
      </c>
      <c r="I34" s="53" t="s">
        <v>31</v>
      </c>
      <c r="J34" s="53" t="s">
        <v>213</v>
      </c>
      <c r="K34" s="73" t="b">
        <v>1</v>
      </c>
      <c r="L34" s="73" t="b">
        <v>1</v>
      </c>
      <c r="M34" s="73" t="b">
        <v>1</v>
      </c>
      <c r="N34" s="73" t="b">
        <v>1</v>
      </c>
      <c r="O34" s="72">
        <v>7.25</v>
      </c>
      <c r="P34" s="91" t="s">
        <v>699</v>
      </c>
      <c r="Q34" s="86" t="s">
        <v>707</v>
      </c>
      <c r="R34" s="86" t="s">
        <v>708</v>
      </c>
      <c r="S34" s="110" t="s">
        <v>254</v>
      </c>
      <c r="T34" s="110"/>
      <c r="U34" s="110"/>
      <c r="V34" s="110"/>
      <c r="W34" s="110"/>
      <c r="X34" s="110"/>
      <c r="Y34" s="110"/>
      <c r="Z34" s="53"/>
      <c r="AA34" s="5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</row>
    <row r="35" spans="1:41" ht="12.75" customHeight="1">
      <c r="A35" s="72">
        <v>5367</v>
      </c>
      <c r="B35" s="53" t="s">
        <v>121</v>
      </c>
      <c r="C35" s="72">
        <v>100</v>
      </c>
      <c r="D35" s="53" t="s">
        <v>250</v>
      </c>
      <c r="E35" s="53" t="s">
        <v>251</v>
      </c>
      <c r="F35" s="53"/>
      <c r="G35" s="53" t="s">
        <v>19</v>
      </c>
      <c r="H35" s="53" t="s">
        <v>7</v>
      </c>
      <c r="I35" s="53" t="s">
        <v>35</v>
      </c>
      <c r="J35" s="53" t="s">
        <v>212</v>
      </c>
      <c r="K35" s="73" t="b">
        <v>1</v>
      </c>
      <c r="L35" s="73" t="b">
        <v>1</v>
      </c>
      <c r="M35" s="73" t="b">
        <v>1</v>
      </c>
      <c r="N35" s="73" t="b">
        <v>1</v>
      </c>
      <c r="O35" s="72">
        <v>4.5</v>
      </c>
      <c r="P35" s="91" t="s">
        <v>699</v>
      </c>
      <c r="Q35" s="86" t="s">
        <v>709</v>
      </c>
      <c r="R35" s="86"/>
      <c r="S35" s="110" t="s">
        <v>255</v>
      </c>
      <c r="T35" s="110"/>
      <c r="U35" s="110"/>
      <c r="V35" s="110"/>
      <c r="W35" s="110"/>
      <c r="X35" s="110"/>
      <c r="Y35" s="110"/>
      <c r="Z35" s="53"/>
      <c r="AA35" s="5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</row>
    <row r="36" spans="1:41" ht="25.5" customHeight="1">
      <c r="A36" s="72">
        <v>5268</v>
      </c>
      <c r="B36" s="53" t="s">
        <v>119</v>
      </c>
      <c r="C36" s="72">
        <v>75</v>
      </c>
      <c r="D36" s="53" t="s">
        <v>250</v>
      </c>
      <c r="E36" s="53" t="s">
        <v>251</v>
      </c>
      <c r="F36" s="53"/>
      <c r="G36" s="53" t="s">
        <v>19</v>
      </c>
      <c r="H36" s="53" t="s">
        <v>7</v>
      </c>
      <c r="I36" s="53" t="s">
        <v>31</v>
      </c>
      <c r="J36" s="53" t="s">
        <v>213</v>
      </c>
      <c r="K36" s="73" t="b">
        <v>1</v>
      </c>
      <c r="L36" s="73" t="b">
        <v>1</v>
      </c>
      <c r="M36" s="73" t="b">
        <v>1</v>
      </c>
      <c r="N36" s="73" t="b">
        <v>1</v>
      </c>
      <c r="O36" s="72">
        <v>6</v>
      </c>
      <c r="P36" s="91" t="s">
        <v>710</v>
      </c>
      <c r="Q36" s="86" t="s">
        <v>711</v>
      </c>
      <c r="R36" s="86" t="s">
        <v>712</v>
      </c>
      <c r="S36" s="110" t="s">
        <v>256</v>
      </c>
      <c r="T36" s="110"/>
      <c r="U36" s="110"/>
      <c r="V36" s="110"/>
      <c r="W36" s="110"/>
      <c r="X36" s="110"/>
      <c r="Y36" s="53"/>
      <c r="Z36" s="53"/>
      <c r="AA36" s="5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</row>
    <row r="37" spans="1:41" ht="25.5" customHeight="1">
      <c r="A37" s="72">
        <v>5126</v>
      </c>
      <c r="B37" s="53" t="s">
        <v>155</v>
      </c>
      <c r="C37" s="72">
        <v>100</v>
      </c>
      <c r="D37" s="53" t="s">
        <v>250</v>
      </c>
      <c r="E37" s="53" t="s">
        <v>251</v>
      </c>
      <c r="F37" s="53"/>
      <c r="G37" s="53" t="s">
        <v>19</v>
      </c>
      <c r="H37" s="53" t="s">
        <v>7</v>
      </c>
      <c r="I37" s="53" t="s">
        <v>12</v>
      </c>
      <c r="J37" s="53" t="s">
        <v>213</v>
      </c>
      <c r="K37" s="73" t="b">
        <v>1</v>
      </c>
      <c r="L37" s="73" t="b">
        <v>1</v>
      </c>
      <c r="M37" s="73" t="b">
        <v>1</v>
      </c>
      <c r="N37" s="73" t="b">
        <v>1</v>
      </c>
      <c r="O37" s="72">
        <v>9</v>
      </c>
      <c r="P37" s="91" t="s">
        <v>713</v>
      </c>
      <c r="Q37" s="86" t="s">
        <v>689</v>
      </c>
      <c r="R37" s="86"/>
      <c r="S37" s="110" t="s">
        <v>257</v>
      </c>
      <c r="T37" s="110"/>
      <c r="U37" s="110"/>
      <c r="V37" s="110"/>
      <c r="W37" s="110"/>
      <c r="X37" s="110"/>
      <c r="Y37" s="110"/>
      <c r="Z37" s="110"/>
      <c r="AA37" s="5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</row>
    <row r="38" spans="1:41" ht="25.5" customHeight="1">
      <c r="A38" s="72">
        <v>4760</v>
      </c>
      <c r="B38" s="53" t="s">
        <v>176</v>
      </c>
      <c r="C38" s="72">
        <v>100</v>
      </c>
      <c r="D38" s="53" t="s">
        <v>250</v>
      </c>
      <c r="E38" s="53" t="s">
        <v>251</v>
      </c>
      <c r="F38" s="53"/>
      <c r="G38" s="53" t="s">
        <v>19</v>
      </c>
      <c r="H38" s="53" t="s">
        <v>7</v>
      </c>
      <c r="I38" s="53" t="s">
        <v>12</v>
      </c>
      <c r="J38" s="53" t="s">
        <v>213</v>
      </c>
      <c r="K38" s="73" t="b">
        <v>1</v>
      </c>
      <c r="L38" s="73" t="b">
        <v>1</v>
      </c>
      <c r="M38" s="73" t="b">
        <v>1</v>
      </c>
      <c r="N38" s="73" t="b">
        <v>0</v>
      </c>
      <c r="O38" s="72">
        <v>8.5</v>
      </c>
      <c r="P38" s="91" t="s">
        <v>683</v>
      </c>
      <c r="Q38" s="86" t="s">
        <v>689</v>
      </c>
      <c r="R38" s="86"/>
      <c r="S38" s="110" t="s">
        <v>258</v>
      </c>
      <c r="T38" s="110"/>
      <c r="U38" s="110"/>
      <c r="V38" s="110"/>
      <c r="W38" s="110"/>
      <c r="X38" s="110"/>
      <c r="Y38" s="110"/>
      <c r="Z38" s="110"/>
      <c r="AA38" s="110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</row>
    <row r="39" spans="1:41" ht="25.5" customHeight="1">
      <c r="A39" s="63">
        <v>4605</v>
      </c>
      <c r="B39" s="54" t="s">
        <v>165</v>
      </c>
      <c r="C39" s="63">
        <v>85</v>
      </c>
      <c r="D39" s="54" t="s">
        <v>261</v>
      </c>
      <c r="E39" s="54" t="s">
        <v>262</v>
      </c>
      <c r="F39" s="54" t="s">
        <v>5</v>
      </c>
      <c r="G39" s="54" t="s">
        <v>31</v>
      </c>
      <c r="H39" s="54" t="s">
        <v>12</v>
      </c>
      <c r="I39" s="54" t="s">
        <v>23</v>
      </c>
      <c r="J39" s="54" t="s">
        <v>213</v>
      </c>
      <c r="K39" s="64" t="b">
        <v>1</v>
      </c>
      <c r="L39" s="64" t="b">
        <v>1</v>
      </c>
      <c r="M39" s="64" t="b">
        <v>1</v>
      </c>
      <c r="N39" s="64" t="b">
        <v>1</v>
      </c>
      <c r="O39" s="63">
        <v>8.5</v>
      </c>
      <c r="P39" s="88" t="s">
        <v>716</v>
      </c>
      <c r="Q39" s="86" t="s">
        <v>714</v>
      </c>
      <c r="R39" s="86" t="s">
        <v>715</v>
      </c>
      <c r="S39" s="107" t="s">
        <v>166</v>
      </c>
      <c r="T39" s="107"/>
      <c r="U39" s="107"/>
      <c r="V39" s="107"/>
      <c r="W39" s="107"/>
      <c r="X39" s="107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43"/>
      <c r="AO39" s="43"/>
    </row>
    <row r="40" spans="1:41" ht="25.5" customHeight="1">
      <c r="A40" s="63">
        <v>4642</v>
      </c>
      <c r="B40" s="54" t="s">
        <v>124</v>
      </c>
      <c r="C40" s="63">
        <v>100</v>
      </c>
      <c r="D40" s="54" t="s">
        <v>261</v>
      </c>
      <c r="E40" s="54" t="s">
        <v>262</v>
      </c>
      <c r="F40" s="54" t="s">
        <v>5</v>
      </c>
      <c r="G40" s="54" t="s">
        <v>31</v>
      </c>
      <c r="H40" s="54" t="s">
        <v>26</v>
      </c>
      <c r="I40" s="54" t="s">
        <v>12</v>
      </c>
      <c r="J40" s="54" t="s">
        <v>213</v>
      </c>
      <c r="K40" s="64" t="b">
        <v>1</v>
      </c>
      <c r="L40" s="64" t="b">
        <v>1</v>
      </c>
      <c r="M40" s="64" t="b">
        <v>1</v>
      </c>
      <c r="N40" s="64" t="b">
        <v>1</v>
      </c>
      <c r="O40" s="63">
        <v>8.5</v>
      </c>
      <c r="P40" s="88" t="s">
        <v>717</v>
      </c>
      <c r="Q40" s="86" t="s">
        <v>718</v>
      </c>
      <c r="R40" s="86" t="s">
        <v>624</v>
      </c>
      <c r="S40" s="107" t="s">
        <v>263</v>
      </c>
      <c r="T40" s="107"/>
      <c r="U40" s="107"/>
      <c r="V40" s="107"/>
      <c r="W40" s="107"/>
      <c r="X40" s="107"/>
      <c r="Y40" s="54"/>
      <c r="Z40" s="54"/>
      <c r="AA40" s="54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</row>
    <row r="41" spans="1:41" ht="12.75" customHeight="1">
      <c r="A41" s="63">
        <v>5090</v>
      </c>
      <c r="B41" s="54" t="s">
        <v>159</v>
      </c>
      <c r="C41" s="63">
        <v>100</v>
      </c>
      <c r="D41" s="54" t="s">
        <v>261</v>
      </c>
      <c r="E41" s="54" t="s">
        <v>262</v>
      </c>
      <c r="F41" s="54" t="s">
        <v>5</v>
      </c>
      <c r="G41" s="54" t="s">
        <v>31</v>
      </c>
      <c r="H41" s="54" t="s">
        <v>12</v>
      </c>
      <c r="I41" s="54"/>
      <c r="J41" s="54" t="s">
        <v>213</v>
      </c>
      <c r="K41" s="64" t="b">
        <v>1</v>
      </c>
      <c r="L41" s="64" t="b">
        <v>1</v>
      </c>
      <c r="M41" s="64" t="b">
        <v>1</v>
      </c>
      <c r="N41" s="64" t="b">
        <v>1</v>
      </c>
      <c r="O41" s="63">
        <v>8.5</v>
      </c>
      <c r="P41" s="88" t="s">
        <v>698</v>
      </c>
      <c r="Q41" s="86" t="s">
        <v>671</v>
      </c>
      <c r="R41" s="86" t="s">
        <v>719</v>
      </c>
      <c r="S41" s="107" t="s">
        <v>264</v>
      </c>
      <c r="T41" s="107"/>
      <c r="U41" s="107"/>
      <c r="V41" s="107"/>
      <c r="W41" s="107"/>
      <c r="X41" s="107"/>
      <c r="Y41" s="107"/>
      <c r="Z41" s="107"/>
      <c r="AA41" s="54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</row>
    <row r="42" spans="1:41" ht="12.75" customHeight="1">
      <c r="A42" s="63">
        <v>4727</v>
      </c>
      <c r="B42" s="54" t="s">
        <v>160</v>
      </c>
      <c r="C42" s="63">
        <v>80</v>
      </c>
      <c r="D42" s="54" t="s">
        <v>261</v>
      </c>
      <c r="E42" s="54" t="s">
        <v>262</v>
      </c>
      <c r="F42" s="54" t="s">
        <v>5</v>
      </c>
      <c r="G42" s="54" t="s">
        <v>12</v>
      </c>
      <c r="H42" s="54" t="s">
        <v>7</v>
      </c>
      <c r="I42" s="54" t="s">
        <v>34</v>
      </c>
      <c r="J42" s="54" t="s">
        <v>213</v>
      </c>
      <c r="K42" s="64" t="b">
        <v>1</v>
      </c>
      <c r="L42" s="64" t="b">
        <v>1</v>
      </c>
      <c r="M42" s="64" t="b">
        <v>1</v>
      </c>
      <c r="N42" s="64" t="b">
        <v>1</v>
      </c>
      <c r="O42" s="63">
        <v>7.25</v>
      </c>
      <c r="P42" s="100" t="s">
        <v>720</v>
      </c>
      <c r="Q42" s="86" t="s">
        <v>721</v>
      </c>
      <c r="R42" s="86" t="s">
        <v>719</v>
      </c>
      <c r="S42" s="107" t="s">
        <v>161</v>
      </c>
      <c r="T42" s="107"/>
      <c r="U42" s="107"/>
      <c r="V42" s="107"/>
      <c r="W42" s="107"/>
      <c r="X42" s="107"/>
      <c r="Y42" s="107"/>
      <c r="Z42" s="107"/>
      <c r="AA42" s="107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</row>
    <row r="43" spans="1:41" ht="12.75" customHeight="1">
      <c r="A43" s="63">
        <v>4778</v>
      </c>
      <c r="B43" s="54" t="s">
        <v>156</v>
      </c>
      <c r="C43" s="63">
        <v>95</v>
      </c>
      <c r="D43" s="54" t="s">
        <v>261</v>
      </c>
      <c r="E43" s="54" t="s">
        <v>262</v>
      </c>
      <c r="F43" s="54" t="s">
        <v>5</v>
      </c>
      <c r="G43" s="54" t="s">
        <v>31</v>
      </c>
      <c r="H43" s="54" t="s">
        <v>12</v>
      </c>
      <c r="I43" s="54" t="s">
        <v>10</v>
      </c>
      <c r="J43" s="54" t="s">
        <v>213</v>
      </c>
      <c r="K43" s="64" t="b">
        <v>1</v>
      </c>
      <c r="L43" s="64" t="b">
        <v>1</v>
      </c>
      <c r="M43" s="64" t="b">
        <v>1</v>
      </c>
      <c r="N43" s="64" t="b">
        <v>1</v>
      </c>
      <c r="O43" s="63">
        <v>8.5</v>
      </c>
      <c r="P43" s="98" t="s">
        <v>722</v>
      </c>
      <c r="Q43" s="86" t="s">
        <v>685</v>
      </c>
      <c r="R43" s="86" t="s">
        <v>686</v>
      </c>
      <c r="S43" s="107" t="s">
        <v>265</v>
      </c>
      <c r="T43" s="107"/>
      <c r="U43" s="107"/>
      <c r="V43" s="107"/>
      <c r="W43" s="107"/>
      <c r="X43" s="107"/>
      <c r="Y43" s="107"/>
      <c r="Z43" s="107"/>
      <c r="AA43" s="54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</row>
    <row r="44" spans="1:41" ht="12.75" customHeight="1">
      <c r="A44" s="63">
        <v>4725</v>
      </c>
      <c r="B44" s="54" t="s">
        <v>157</v>
      </c>
      <c r="C44" s="63">
        <v>80</v>
      </c>
      <c r="D44" s="54" t="s">
        <v>261</v>
      </c>
      <c r="E44" s="54" t="s">
        <v>262</v>
      </c>
      <c r="F44" s="54" t="s">
        <v>5</v>
      </c>
      <c r="G44" s="54" t="s">
        <v>30</v>
      </c>
      <c r="H44" s="54" t="s">
        <v>12</v>
      </c>
      <c r="I44" s="54" t="s">
        <v>10</v>
      </c>
      <c r="J44" s="54" t="s">
        <v>213</v>
      </c>
      <c r="K44" s="64" t="b">
        <v>1</v>
      </c>
      <c r="L44" s="64" t="b">
        <v>1</v>
      </c>
      <c r="M44" s="64" t="b">
        <v>1</v>
      </c>
      <c r="N44" s="64" t="b">
        <v>1</v>
      </c>
      <c r="O44" s="63">
        <v>9.5</v>
      </c>
      <c r="P44" s="98" t="s">
        <v>723</v>
      </c>
      <c r="Q44" s="86" t="s">
        <v>685</v>
      </c>
      <c r="R44" s="86" t="s">
        <v>686</v>
      </c>
      <c r="S44" s="107" t="s">
        <v>158</v>
      </c>
      <c r="T44" s="107"/>
      <c r="U44" s="107"/>
      <c r="V44" s="107"/>
      <c r="W44" s="107"/>
      <c r="X44" s="107"/>
      <c r="Y44" s="107"/>
      <c r="Z44" s="54"/>
      <c r="AA44" s="54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</row>
    <row r="45" spans="1:41" ht="25.5" customHeight="1">
      <c r="A45" s="63">
        <v>4892</v>
      </c>
      <c r="B45" s="54" t="s">
        <v>127</v>
      </c>
      <c r="C45" s="63">
        <v>100</v>
      </c>
      <c r="D45" s="54" t="s">
        <v>261</v>
      </c>
      <c r="E45" s="54" t="s">
        <v>262</v>
      </c>
      <c r="F45" s="54" t="s">
        <v>5</v>
      </c>
      <c r="G45" s="54" t="s">
        <v>31</v>
      </c>
      <c r="H45" s="54" t="s">
        <v>12</v>
      </c>
      <c r="I45" s="54"/>
      <c r="J45" s="54" t="s">
        <v>213</v>
      </c>
      <c r="K45" s="64" t="b">
        <v>0</v>
      </c>
      <c r="L45" s="64" t="b">
        <v>0</v>
      </c>
      <c r="M45" s="64" t="b">
        <v>0</v>
      </c>
      <c r="N45" s="64" t="b">
        <v>0</v>
      </c>
      <c r="O45" s="63">
        <v>9</v>
      </c>
      <c r="P45" s="98" t="s">
        <v>724</v>
      </c>
      <c r="Q45" s="86" t="s">
        <v>725</v>
      </c>
      <c r="R45" s="86" t="s">
        <v>719</v>
      </c>
      <c r="S45" s="107" t="s">
        <v>266</v>
      </c>
      <c r="T45" s="107"/>
      <c r="U45" s="107"/>
      <c r="V45" s="107"/>
      <c r="W45" s="107"/>
      <c r="X45" s="107"/>
      <c r="Y45" s="107"/>
      <c r="Z45" s="107"/>
      <c r="AA45" s="54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</row>
    <row r="46" spans="1:41" ht="12.75" customHeight="1">
      <c r="A46" s="63">
        <v>5654</v>
      </c>
      <c r="B46" s="54" t="s">
        <v>131</v>
      </c>
      <c r="C46" s="63">
        <v>60</v>
      </c>
      <c r="D46" s="54" t="s">
        <v>261</v>
      </c>
      <c r="E46" s="54" t="s">
        <v>267</v>
      </c>
      <c r="F46" s="54" t="s">
        <v>5</v>
      </c>
      <c r="G46" s="54" t="s">
        <v>12</v>
      </c>
      <c r="H46" s="54"/>
      <c r="I46" s="54"/>
      <c r="J46" s="54" t="s">
        <v>213</v>
      </c>
      <c r="K46" s="64" t="b">
        <v>0</v>
      </c>
      <c r="L46" s="64" t="b">
        <v>0</v>
      </c>
      <c r="M46" s="64" t="b">
        <v>0</v>
      </c>
      <c r="N46" s="64" t="b">
        <v>0</v>
      </c>
      <c r="O46" s="63">
        <v>7</v>
      </c>
      <c r="P46" s="98" t="s">
        <v>726</v>
      </c>
      <c r="Q46" s="86" t="s">
        <v>631</v>
      </c>
      <c r="R46" s="86" t="s">
        <v>632</v>
      </c>
      <c r="S46" s="107" t="s">
        <v>132</v>
      </c>
      <c r="T46" s="107"/>
      <c r="U46" s="107"/>
      <c r="V46" s="107"/>
      <c r="W46" s="107"/>
      <c r="X46" s="107"/>
      <c r="Y46" s="54"/>
      <c r="Z46" s="54"/>
      <c r="AA46" s="54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</row>
    <row r="47" spans="1:41" ht="25.5" customHeight="1">
      <c r="A47" s="63">
        <v>4564</v>
      </c>
      <c r="B47" s="54" t="s">
        <v>135</v>
      </c>
      <c r="C47" s="63">
        <v>100</v>
      </c>
      <c r="D47" s="54" t="s">
        <v>261</v>
      </c>
      <c r="E47" s="54" t="s">
        <v>267</v>
      </c>
      <c r="F47" s="54" t="s">
        <v>5</v>
      </c>
      <c r="G47" s="54" t="s">
        <v>12</v>
      </c>
      <c r="H47" s="54" t="s">
        <v>31</v>
      </c>
      <c r="I47" s="54" t="s">
        <v>34</v>
      </c>
      <c r="J47" s="54" t="s">
        <v>213</v>
      </c>
      <c r="K47" s="64" t="b">
        <v>1</v>
      </c>
      <c r="L47" s="64" t="b">
        <v>1</v>
      </c>
      <c r="M47" s="64" t="b">
        <v>1</v>
      </c>
      <c r="N47" s="64" t="b">
        <v>1</v>
      </c>
      <c r="O47" s="63">
        <v>9</v>
      </c>
      <c r="P47" s="98" t="s">
        <v>698</v>
      </c>
      <c r="Q47" s="86" t="s">
        <v>685</v>
      </c>
      <c r="R47" s="86" t="s">
        <v>686</v>
      </c>
      <c r="S47" s="107" t="s">
        <v>136</v>
      </c>
      <c r="T47" s="107"/>
      <c r="U47" s="107"/>
      <c r="V47" s="107"/>
      <c r="W47" s="107"/>
      <c r="X47" s="107"/>
      <c r="Y47" s="107"/>
      <c r="Z47" s="54"/>
      <c r="AA47" s="54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</row>
    <row r="48" spans="1:41" ht="25.5" customHeight="1">
      <c r="A48" s="63">
        <v>4570</v>
      </c>
      <c r="B48" s="54" t="s">
        <v>177</v>
      </c>
      <c r="C48" s="63">
        <v>90</v>
      </c>
      <c r="D48" s="54" t="s">
        <v>261</v>
      </c>
      <c r="E48" s="54" t="s">
        <v>267</v>
      </c>
      <c r="F48" s="54" t="s">
        <v>5</v>
      </c>
      <c r="G48" s="54" t="s">
        <v>26</v>
      </c>
      <c r="H48" s="54" t="s">
        <v>12</v>
      </c>
      <c r="I48" s="54" t="s">
        <v>34</v>
      </c>
      <c r="J48" s="54" t="s">
        <v>213</v>
      </c>
      <c r="K48" s="64" t="b">
        <v>1</v>
      </c>
      <c r="L48" s="64" t="b">
        <v>1</v>
      </c>
      <c r="M48" s="64" t="b">
        <v>1</v>
      </c>
      <c r="N48" s="64" t="b">
        <v>1</v>
      </c>
      <c r="O48" s="63">
        <v>8</v>
      </c>
      <c r="P48" s="98" t="s">
        <v>728</v>
      </c>
      <c r="Q48" s="86" t="s">
        <v>727</v>
      </c>
      <c r="R48" s="86" t="s">
        <v>636</v>
      </c>
      <c r="S48" s="107" t="s">
        <v>178</v>
      </c>
      <c r="T48" s="107"/>
      <c r="U48" s="107"/>
      <c r="V48" s="107"/>
      <c r="W48" s="107"/>
      <c r="X48" s="107"/>
      <c r="Y48" s="107"/>
      <c r="Z48" s="107"/>
      <c r="AA48" s="54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</row>
    <row r="49" spans="1:41" ht="25.5" customHeight="1">
      <c r="A49" s="63">
        <v>5109</v>
      </c>
      <c r="B49" s="54" t="s">
        <v>191</v>
      </c>
      <c r="C49" s="63">
        <v>80</v>
      </c>
      <c r="D49" s="54" t="s">
        <v>261</v>
      </c>
      <c r="E49" s="54" t="s">
        <v>267</v>
      </c>
      <c r="F49" s="54" t="s">
        <v>5</v>
      </c>
      <c r="G49" s="54" t="s">
        <v>31</v>
      </c>
      <c r="H49" s="54" t="s">
        <v>10</v>
      </c>
      <c r="I49" s="54" t="s">
        <v>12</v>
      </c>
      <c r="J49" s="54" t="s">
        <v>213</v>
      </c>
      <c r="K49" s="64" t="b">
        <v>1</v>
      </c>
      <c r="L49" s="64" t="b">
        <v>1</v>
      </c>
      <c r="M49" s="64" t="b">
        <v>1</v>
      </c>
      <c r="N49" s="64" t="b">
        <v>1</v>
      </c>
      <c r="O49" s="63">
        <v>8.5</v>
      </c>
      <c r="P49" s="98" t="s">
        <v>731</v>
      </c>
      <c r="Q49" s="86" t="s">
        <v>729</v>
      </c>
      <c r="R49" s="86" t="s">
        <v>730</v>
      </c>
      <c r="S49" s="107" t="s">
        <v>268</v>
      </c>
      <c r="T49" s="107"/>
      <c r="U49" s="107"/>
      <c r="V49" s="107"/>
      <c r="W49" s="107"/>
      <c r="X49" s="107"/>
      <c r="Y49" s="107"/>
      <c r="Z49" s="107"/>
      <c r="AA49" s="107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</row>
    <row r="50" spans="1:41" ht="12.75" customHeight="1">
      <c r="A50" s="63">
        <v>5107</v>
      </c>
      <c r="B50" s="54" t="s">
        <v>192</v>
      </c>
      <c r="C50" s="63">
        <v>80</v>
      </c>
      <c r="D50" s="54" t="s">
        <v>261</v>
      </c>
      <c r="E50" s="54" t="s">
        <v>267</v>
      </c>
      <c r="F50" s="54" t="s">
        <v>5</v>
      </c>
      <c r="G50" s="54" t="s">
        <v>31</v>
      </c>
      <c r="H50" s="54" t="s">
        <v>10</v>
      </c>
      <c r="I50" s="54" t="s">
        <v>12</v>
      </c>
      <c r="J50" s="54" t="s">
        <v>213</v>
      </c>
      <c r="K50" s="64" t="b">
        <v>1</v>
      </c>
      <c r="L50" s="64" t="b">
        <v>1</v>
      </c>
      <c r="M50" s="64" t="b">
        <v>1</v>
      </c>
      <c r="N50" s="64" t="b">
        <v>1</v>
      </c>
      <c r="O50" s="63">
        <v>8.5</v>
      </c>
      <c r="P50" s="98" t="s">
        <v>732</v>
      </c>
      <c r="Q50" s="86" t="s">
        <v>729</v>
      </c>
      <c r="R50" s="86" t="s">
        <v>730</v>
      </c>
      <c r="S50" s="107" t="s">
        <v>269</v>
      </c>
      <c r="T50" s="107"/>
      <c r="U50" s="107"/>
      <c r="V50" s="107"/>
      <c r="W50" s="107"/>
      <c r="X50" s="107"/>
      <c r="Y50" s="107"/>
      <c r="Z50" s="54"/>
      <c r="AA50" s="54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</row>
    <row r="51" spans="1:41" ht="12.75" customHeight="1">
      <c r="A51" s="63">
        <v>4696</v>
      </c>
      <c r="B51" s="54" t="s">
        <v>169</v>
      </c>
      <c r="C51" s="63">
        <v>80</v>
      </c>
      <c r="D51" s="54" t="s">
        <v>261</v>
      </c>
      <c r="E51" s="54" t="s">
        <v>267</v>
      </c>
      <c r="F51" s="54" t="s">
        <v>5</v>
      </c>
      <c r="G51" s="54" t="s">
        <v>12</v>
      </c>
      <c r="H51" s="54"/>
      <c r="I51" s="54"/>
      <c r="J51" s="54" t="s">
        <v>213</v>
      </c>
      <c r="K51" s="64" t="b">
        <v>1</v>
      </c>
      <c r="L51" s="64" t="b">
        <v>1</v>
      </c>
      <c r="M51" s="64" t="b">
        <v>1</v>
      </c>
      <c r="N51" s="64" t="b">
        <v>1</v>
      </c>
      <c r="O51" s="63">
        <v>6.5</v>
      </c>
      <c r="P51" s="98" t="s">
        <v>733</v>
      </c>
      <c r="Q51" s="86" t="s">
        <v>685</v>
      </c>
      <c r="R51" s="86" t="s">
        <v>686</v>
      </c>
      <c r="S51" s="107" t="s">
        <v>170</v>
      </c>
      <c r="T51" s="107"/>
      <c r="U51" s="107"/>
      <c r="V51" s="107"/>
      <c r="W51" s="107"/>
      <c r="X51" s="107"/>
      <c r="Y51" s="107"/>
      <c r="Z51" s="107"/>
      <c r="AA51" s="54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</row>
    <row r="52" spans="1:41" ht="12.75" customHeight="1">
      <c r="A52" s="61">
        <v>4471</v>
      </c>
      <c r="B52" s="43" t="s">
        <v>129</v>
      </c>
      <c r="C52" s="61">
        <v>100</v>
      </c>
      <c r="D52" s="43" t="s">
        <v>270</v>
      </c>
      <c r="E52" s="43" t="s">
        <v>271</v>
      </c>
      <c r="F52" s="43" t="s">
        <v>5</v>
      </c>
      <c r="G52" s="43" t="s">
        <v>35</v>
      </c>
      <c r="H52" s="43" t="s">
        <v>12</v>
      </c>
      <c r="I52" s="43"/>
      <c r="J52" s="43" t="s">
        <v>212</v>
      </c>
      <c r="K52" s="47" t="b">
        <v>1</v>
      </c>
      <c r="L52" s="47" t="b">
        <v>0</v>
      </c>
      <c r="M52" s="47" t="b">
        <v>1</v>
      </c>
      <c r="N52" s="47" t="b">
        <v>0</v>
      </c>
      <c r="O52" s="61">
        <v>4</v>
      </c>
      <c r="P52" s="98" t="s">
        <v>734</v>
      </c>
      <c r="Q52" s="86" t="s">
        <v>685</v>
      </c>
      <c r="R52" s="86" t="s">
        <v>686</v>
      </c>
      <c r="S52" s="104" t="s">
        <v>130</v>
      </c>
      <c r="T52" s="104"/>
      <c r="U52" s="104"/>
      <c r="V52" s="104"/>
      <c r="W52" s="104"/>
      <c r="X52" s="104"/>
      <c r="Y52" s="104"/>
      <c r="Z52" s="104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</row>
    <row r="53" spans="1:41" ht="25.5" customHeight="1">
      <c r="A53" s="61">
        <v>4795</v>
      </c>
      <c r="B53" s="43" t="s">
        <v>143</v>
      </c>
      <c r="C53" s="61">
        <v>100</v>
      </c>
      <c r="D53" s="43" t="s">
        <v>270</v>
      </c>
      <c r="E53" s="43" t="s">
        <v>271</v>
      </c>
      <c r="F53" s="43" t="s">
        <v>5</v>
      </c>
      <c r="G53" s="43" t="s">
        <v>35</v>
      </c>
      <c r="H53" s="43" t="s">
        <v>12</v>
      </c>
      <c r="I53" s="43"/>
      <c r="J53" s="43" t="s">
        <v>212</v>
      </c>
      <c r="K53" s="47" t="b">
        <v>1</v>
      </c>
      <c r="L53" s="47" t="b">
        <v>0</v>
      </c>
      <c r="M53" s="47" t="b">
        <v>1</v>
      </c>
      <c r="N53" s="47" t="b">
        <v>0</v>
      </c>
      <c r="O53" s="61">
        <v>5</v>
      </c>
      <c r="P53" s="98" t="s">
        <v>698</v>
      </c>
      <c r="Q53" s="86" t="s">
        <v>685</v>
      </c>
      <c r="R53" s="86" t="s">
        <v>686</v>
      </c>
      <c r="S53" s="104" t="s">
        <v>272</v>
      </c>
      <c r="T53" s="104"/>
      <c r="U53" s="104"/>
      <c r="V53" s="104"/>
      <c r="W53" s="104"/>
      <c r="X53" s="104"/>
      <c r="Y53" s="104"/>
      <c r="Z53" s="104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</row>
    <row r="54" spans="1:41" ht="25.5" customHeight="1">
      <c r="A54" s="61">
        <v>4466</v>
      </c>
      <c r="B54" s="43" t="s">
        <v>144</v>
      </c>
      <c r="C54" s="61">
        <v>100</v>
      </c>
      <c r="D54" s="43" t="s">
        <v>270</v>
      </c>
      <c r="E54" s="43" t="s">
        <v>271</v>
      </c>
      <c r="F54" s="43" t="s">
        <v>5</v>
      </c>
      <c r="G54" s="43" t="s">
        <v>35</v>
      </c>
      <c r="H54" s="43"/>
      <c r="I54" s="43"/>
      <c r="J54" s="43" t="s">
        <v>212</v>
      </c>
      <c r="K54" s="47" t="b">
        <v>1</v>
      </c>
      <c r="L54" s="47" t="b">
        <v>0</v>
      </c>
      <c r="M54" s="47" t="b">
        <v>1</v>
      </c>
      <c r="N54" s="47" t="b">
        <v>0</v>
      </c>
      <c r="O54" s="61">
        <v>4</v>
      </c>
      <c r="P54" s="98" t="s">
        <v>735</v>
      </c>
      <c r="Q54" s="86" t="s">
        <v>685</v>
      </c>
      <c r="R54" s="86" t="s">
        <v>686</v>
      </c>
      <c r="S54" s="104" t="s">
        <v>145</v>
      </c>
      <c r="T54" s="104"/>
      <c r="U54" s="104"/>
      <c r="V54" s="104"/>
      <c r="W54" s="104"/>
      <c r="X54" s="104"/>
      <c r="Y54" s="104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</row>
    <row r="55" spans="1:41" ht="25.5" customHeight="1">
      <c r="A55" s="74">
        <v>4829</v>
      </c>
      <c r="B55" s="75" t="s">
        <v>137</v>
      </c>
      <c r="C55" s="74">
        <v>90</v>
      </c>
      <c r="D55" s="75" t="s">
        <v>273</v>
      </c>
      <c r="E55" s="75" t="s">
        <v>274</v>
      </c>
      <c r="F55" s="75" t="s">
        <v>33</v>
      </c>
      <c r="G55" s="75" t="s">
        <v>31</v>
      </c>
      <c r="H55" s="75" t="s">
        <v>12</v>
      </c>
      <c r="I55" s="75" t="s">
        <v>34</v>
      </c>
      <c r="J55" s="75" t="s">
        <v>212</v>
      </c>
      <c r="K55" s="76" t="b">
        <v>1</v>
      </c>
      <c r="L55" s="76" t="b">
        <v>1</v>
      </c>
      <c r="M55" s="76" t="b">
        <v>1</v>
      </c>
      <c r="N55" s="76" t="b">
        <v>1</v>
      </c>
      <c r="O55" s="74">
        <v>8</v>
      </c>
      <c r="P55" s="86" t="s">
        <v>696</v>
      </c>
      <c r="Q55" s="86" t="s">
        <v>685</v>
      </c>
      <c r="R55" s="86" t="s">
        <v>686</v>
      </c>
      <c r="S55" s="112" t="s">
        <v>260</v>
      </c>
      <c r="T55" s="112"/>
      <c r="U55" s="112"/>
      <c r="V55" s="112"/>
      <c r="W55" s="112"/>
      <c r="X55" s="112"/>
      <c r="Y55" s="112"/>
      <c r="Z55" s="112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43"/>
      <c r="AO55" s="43"/>
    </row>
    <row r="56" spans="1:41" ht="25.5" customHeight="1">
      <c r="A56" s="74">
        <v>4507</v>
      </c>
      <c r="B56" s="75" t="s">
        <v>63</v>
      </c>
      <c r="C56" s="74">
        <v>100</v>
      </c>
      <c r="D56" s="75" t="s">
        <v>273</v>
      </c>
      <c r="E56" s="75" t="s">
        <v>274</v>
      </c>
      <c r="F56" s="75" t="s">
        <v>33</v>
      </c>
      <c r="G56" s="75" t="s">
        <v>31</v>
      </c>
      <c r="H56" s="75" t="s">
        <v>12</v>
      </c>
      <c r="I56" s="75" t="s">
        <v>34</v>
      </c>
      <c r="J56" s="75" t="s">
        <v>213</v>
      </c>
      <c r="K56" s="76" t="b">
        <v>1</v>
      </c>
      <c r="L56" s="76" t="b">
        <v>1</v>
      </c>
      <c r="M56" s="76" t="b">
        <v>1</v>
      </c>
      <c r="N56" s="76" t="b">
        <v>1</v>
      </c>
      <c r="O56" s="74">
        <v>8</v>
      </c>
      <c r="P56" s="86" t="s">
        <v>749</v>
      </c>
      <c r="Q56" s="86" t="s">
        <v>685</v>
      </c>
      <c r="R56" s="86" t="s">
        <v>686</v>
      </c>
      <c r="S56" s="112" t="s">
        <v>64</v>
      </c>
      <c r="T56" s="112"/>
      <c r="U56" s="112"/>
      <c r="V56" s="112"/>
      <c r="W56" s="112"/>
      <c r="X56" s="112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43"/>
      <c r="AO56" s="43"/>
    </row>
    <row r="57" spans="1:41" ht="12.75" customHeight="1">
      <c r="A57" s="74">
        <v>4769</v>
      </c>
      <c r="B57" s="75" t="s">
        <v>275</v>
      </c>
      <c r="C57" s="74">
        <v>90</v>
      </c>
      <c r="D57" s="75" t="s">
        <v>273</v>
      </c>
      <c r="E57" s="75" t="s">
        <v>274</v>
      </c>
      <c r="F57" s="75" t="s">
        <v>33</v>
      </c>
      <c r="G57" s="75" t="s">
        <v>31</v>
      </c>
      <c r="H57" s="75" t="s">
        <v>12</v>
      </c>
      <c r="I57" s="75" t="s">
        <v>34</v>
      </c>
      <c r="J57" s="75" t="s">
        <v>213</v>
      </c>
      <c r="K57" s="76" t="b">
        <v>1</v>
      </c>
      <c r="L57" s="76" t="b">
        <v>1</v>
      </c>
      <c r="M57" s="76" t="b">
        <v>1</v>
      </c>
      <c r="N57" s="76" t="b">
        <v>1</v>
      </c>
      <c r="O57" s="74">
        <v>8</v>
      </c>
      <c r="P57" s="86" t="s">
        <v>750</v>
      </c>
      <c r="Q57" s="86" t="s">
        <v>685</v>
      </c>
      <c r="R57" s="86" t="s">
        <v>686</v>
      </c>
      <c r="S57" s="112" t="s">
        <v>276</v>
      </c>
      <c r="T57" s="112"/>
      <c r="U57" s="112"/>
      <c r="V57" s="112"/>
      <c r="W57" s="112"/>
      <c r="X57" s="112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43"/>
      <c r="AO57" s="43"/>
    </row>
    <row r="58" spans="1:41" ht="12.75" customHeight="1">
      <c r="A58" s="74">
        <v>4767</v>
      </c>
      <c r="B58" s="75" t="s">
        <v>277</v>
      </c>
      <c r="C58" s="74">
        <v>100</v>
      </c>
      <c r="D58" s="75" t="s">
        <v>273</v>
      </c>
      <c r="E58" s="75" t="s">
        <v>274</v>
      </c>
      <c r="F58" s="75" t="s">
        <v>33</v>
      </c>
      <c r="G58" s="75" t="s">
        <v>31</v>
      </c>
      <c r="H58" s="75" t="s">
        <v>12</v>
      </c>
      <c r="I58" s="75" t="s">
        <v>34</v>
      </c>
      <c r="J58" s="75" t="s">
        <v>213</v>
      </c>
      <c r="K58" s="76" t="b">
        <v>1</v>
      </c>
      <c r="L58" s="76" t="b">
        <v>1</v>
      </c>
      <c r="M58" s="76" t="b">
        <v>1</v>
      </c>
      <c r="N58" s="76" t="b">
        <v>1</v>
      </c>
      <c r="O58" s="74">
        <v>6</v>
      </c>
      <c r="P58" s="86" t="s">
        <v>749</v>
      </c>
      <c r="Q58" s="86" t="s">
        <v>752</v>
      </c>
      <c r="R58" s="86" t="s">
        <v>753</v>
      </c>
      <c r="S58" s="112" t="s">
        <v>278</v>
      </c>
      <c r="T58" s="112"/>
      <c r="U58" s="112"/>
      <c r="V58" s="112"/>
      <c r="W58" s="112"/>
      <c r="X58" s="112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43"/>
      <c r="AO58" s="43"/>
    </row>
    <row r="59" spans="1:41" ht="12.75" customHeight="1">
      <c r="A59" s="74">
        <v>4510</v>
      </c>
      <c r="B59" s="75" t="s">
        <v>67</v>
      </c>
      <c r="C59" s="74">
        <v>90</v>
      </c>
      <c r="D59" s="75" t="s">
        <v>273</v>
      </c>
      <c r="E59" s="75" t="s">
        <v>274</v>
      </c>
      <c r="F59" s="75" t="s">
        <v>33</v>
      </c>
      <c r="G59" s="75" t="s">
        <v>31</v>
      </c>
      <c r="H59" s="75" t="s">
        <v>12</v>
      </c>
      <c r="I59" s="75" t="s">
        <v>34</v>
      </c>
      <c r="J59" s="75" t="s">
        <v>213</v>
      </c>
      <c r="K59" s="76" t="b">
        <v>1</v>
      </c>
      <c r="L59" s="76" t="b">
        <v>1</v>
      </c>
      <c r="M59" s="76" t="b">
        <v>1</v>
      </c>
      <c r="N59" s="76" t="b">
        <v>1</v>
      </c>
      <c r="O59" s="74">
        <v>6</v>
      </c>
      <c r="P59" s="86" t="s">
        <v>654</v>
      </c>
      <c r="Q59" s="86" t="s">
        <v>685</v>
      </c>
      <c r="R59" s="86" t="s">
        <v>686</v>
      </c>
      <c r="S59" s="112" t="s">
        <v>68</v>
      </c>
      <c r="T59" s="112"/>
      <c r="U59" s="112"/>
      <c r="V59" s="112"/>
      <c r="W59" s="112"/>
      <c r="X59" s="112"/>
      <c r="Y59" s="112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43"/>
      <c r="AO59" s="43"/>
    </row>
    <row r="60" spans="1:41" ht="12.75" customHeight="1">
      <c r="A60" s="74">
        <v>5653</v>
      </c>
      <c r="B60" s="75" t="s">
        <v>125</v>
      </c>
      <c r="C60" s="74">
        <v>100</v>
      </c>
      <c r="D60" s="75" t="s">
        <v>273</v>
      </c>
      <c r="E60" s="75" t="s">
        <v>274</v>
      </c>
      <c r="F60" s="75" t="s">
        <v>33</v>
      </c>
      <c r="G60" s="75" t="s">
        <v>31</v>
      </c>
      <c r="H60" s="75" t="s">
        <v>12</v>
      </c>
      <c r="I60" s="75" t="s">
        <v>34</v>
      </c>
      <c r="J60" s="75" t="s">
        <v>213</v>
      </c>
      <c r="K60" s="76" t="b">
        <v>1</v>
      </c>
      <c r="L60" s="76" t="b">
        <v>1</v>
      </c>
      <c r="M60" s="76" t="b">
        <v>1</v>
      </c>
      <c r="N60" s="76" t="b">
        <v>1</v>
      </c>
      <c r="O60" s="74">
        <v>8</v>
      </c>
      <c r="P60" s="86" t="s">
        <v>696</v>
      </c>
      <c r="Q60" s="86" t="s">
        <v>685</v>
      </c>
      <c r="R60" s="86" t="s">
        <v>686</v>
      </c>
      <c r="S60" s="112" t="s">
        <v>126</v>
      </c>
      <c r="T60" s="112"/>
      <c r="U60" s="112"/>
      <c r="V60" s="112"/>
      <c r="W60" s="112"/>
      <c r="X60" s="112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43"/>
      <c r="AO60" s="43"/>
    </row>
    <row r="61" spans="1:41" ht="25.5" customHeight="1">
      <c r="A61" s="61">
        <v>4885</v>
      </c>
      <c r="B61" s="43" t="s">
        <v>65</v>
      </c>
      <c r="C61" s="61">
        <v>100</v>
      </c>
      <c r="D61" s="43" t="s">
        <v>279</v>
      </c>
      <c r="E61" s="43" t="s">
        <v>280</v>
      </c>
      <c r="F61" s="43" t="s">
        <v>33</v>
      </c>
      <c r="G61" s="43" t="s">
        <v>35</v>
      </c>
      <c r="H61" s="43" t="s">
        <v>31</v>
      </c>
      <c r="I61" s="43" t="s">
        <v>12</v>
      </c>
      <c r="J61" s="43" t="s">
        <v>212</v>
      </c>
      <c r="K61" s="47" t="b">
        <v>1</v>
      </c>
      <c r="L61" s="47" t="b">
        <v>1</v>
      </c>
      <c r="M61" s="47" t="b">
        <v>1</v>
      </c>
      <c r="N61" s="47" t="b">
        <v>1</v>
      </c>
      <c r="O61" s="61">
        <v>4</v>
      </c>
      <c r="P61" s="86" t="s">
        <v>749</v>
      </c>
      <c r="Q61" s="86" t="s">
        <v>685</v>
      </c>
      <c r="R61" s="86" t="s">
        <v>686</v>
      </c>
      <c r="S61" s="104" t="s">
        <v>281</v>
      </c>
      <c r="T61" s="104"/>
      <c r="U61" s="104"/>
      <c r="V61" s="104"/>
      <c r="W61" s="104"/>
      <c r="X61" s="104"/>
      <c r="Y61" s="104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</row>
    <row r="62" spans="1:41" ht="12.75" customHeight="1">
      <c r="A62" s="61">
        <v>4886</v>
      </c>
      <c r="B62" s="43" t="s">
        <v>66</v>
      </c>
      <c r="C62" s="61">
        <v>90</v>
      </c>
      <c r="D62" s="43" t="s">
        <v>279</v>
      </c>
      <c r="E62" s="43" t="s">
        <v>280</v>
      </c>
      <c r="F62" s="43" t="s">
        <v>33</v>
      </c>
      <c r="G62" s="43" t="s">
        <v>35</v>
      </c>
      <c r="H62" s="43" t="s">
        <v>31</v>
      </c>
      <c r="I62" s="43" t="s">
        <v>12</v>
      </c>
      <c r="J62" s="43" t="s">
        <v>212</v>
      </c>
      <c r="K62" s="47" t="b">
        <v>1</v>
      </c>
      <c r="L62" s="47" t="b">
        <v>1</v>
      </c>
      <c r="M62" s="47" t="b">
        <v>1</v>
      </c>
      <c r="N62" s="47" t="b">
        <v>1</v>
      </c>
      <c r="O62" s="61">
        <v>4</v>
      </c>
      <c r="P62" s="86" t="s">
        <v>750</v>
      </c>
      <c r="Q62" s="86" t="s">
        <v>685</v>
      </c>
      <c r="R62" s="86" t="s">
        <v>686</v>
      </c>
      <c r="S62" s="104" t="s">
        <v>282</v>
      </c>
      <c r="T62" s="104"/>
      <c r="U62" s="104"/>
      <c r="V62" s="104"/>
      <c r="W62" s="104"/>
      <c r="X62" s="104"/>
      <c r="Y62" s="104"/>
      <c r="Z62" s="104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</row>
    <row r="63" spans="1:41" ht="12.75" customHeight="1">
      <c r="A63" s="61">
        <v>4768</v>
      </c>
      <c r="B63" s="43" t="s">
        <v>283</v>
      </c>
      <c r="C63" s="61">
        <v>100</v>
      </c>
      <c r="D63" s="43" t="s">
        <v>279</v>
      </c>
      <c r="E63" s="43" t="s">
        <v>280</v>
      </c>
      <c r="F63" s="43" t="s">
        <v>33</v>
      </c>
      <c r="G63" s="43" t="s">
        <v>35</v>
      </c>
      <c r="H63" s="43" t="s">
        <v>31</v>
      </c>
      <c r="I63" s="43" t="s">
        <v>12</v>
      </c>
      <c r="J63" s="43" t="s">
        <v>212</v>
      </c>
      <c r="K63" s="47" t="b">
        <v>1</v>
      </c>
      <c r="L63" s="47" t="b">
        <v>1</v>
      </c>
      <c r="M63" s="47" t="b">
        <v>1</v>
      </c>
      <c r="N63" s="47" t="b">
        <v>1</v>
      </c>
      <c r="O63" s="61">
        <v>4</v>
      </c>
      <c r="P63" s="86" t="s">
        <v>749</v>
      </c>
      <c r="Q63" s="86" t="s">
        <v>685</v>
      </c>
      <c r="R63" s="86" t="s">
        <v>686</v>
      </c>
      <c r="S63" s="104" t="s">
        <v>284</v>
      </c>
      <c r="T63" s="104"/>
      <c r="U63" s="104"/>
      <c r="V63" s="104"/>
      <c r="W63" s="104"/>
      <c r="X63" s="104"/>
      <c r="Y63" s="104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</row>
    <row r="64" spans="1:41" ht="12.75" customHeight="1">
      <c r="A64" s="61">
        <v>4550</v>
      </c>
      <c r="B64" s="43" t="s">
        <v>69</v>
      </c>
      <c r="C64" s="61">
        <v>90</v>
      </c>
      <c r="D64" s="43" t="s">
        <v>279</v>
      </c>
      <c r="E64" s="43" t="s">
        <v>280</v>
      </c>
      <c r="F64" s="43" t="s">
        <v>33</v>
      </c>
      <c r="G64" s="43" t="s">
        <v>35</v>
      </c>
      <c r="H64" s="43" t="s">
        <v>31</v>
      </c>
      <c r="I64" s="43" t="s">
        <v>12</v>
      </c>
      <c r="J64" s="43" t="s">
        <v>212</v>
      </c>
      <c r="K64" s="47" t="b">
        <v>1</v>
      </c>
      <c r="L64" s="47" t="b">
        <v>1</v>
      </c>
      <c r="M64" s="47" t="b">
        <v>1</v>
      </c>
      <c r="N64" s="47" t="b">
        <v>1</v>
      </c>
      <c r="O64" s="61">
        <v>4</v>
      </c>
      <c r="P64" s="86" t="s">
        <v>750</v>
      </c>
      <c r="Q64" s="86" t="s">
        <v>685</v>
      </c>
      <c r="R64" s="86" t="s">
        <v>686</v>
      </c>
      <c r="S64" s="104" t="s">
        <v>70</v>
      </c>
      <c r="T64" s="104"/>
      <c r="U64" s="104"/>
      <c r="V64" s="104"/>
      <c r="W64" s="104"/>
      <c r="X64" s="104"/>
      <c r="Y64" s="104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</row>
    <row r="65" spans="1:41" ht="12.75" customHeight="1">
      <c r="A65" s="61">
        <v>4833</v>
      </c>
      <c r="B65" s="43" t="s">
        <v>285</v>
      </c>
      <c r="C65" s="61">
        <v>100</v>
      </c>
      <c r="D65" s="43" t="s">
        <v>279</v>
      </c>
      <c r="E65" s="43" t="s">
        <v>280</v>
      </c>
      <c r="F65" s="43" t="s">
        <v>33</v>
      </c>
      <c r="G65" s="43" t="s">
        <v>35</v>
      </c>
      <c r="H65" s="43" t="s">
        <v>12</v>
      </c>
      <c r="I65" s="43" t="s">
        <v>34</v>
      </c>
      <c r="J65" s="43" t="s">
        <v>212</v>
      </c>
      <c r="K65" s="47" t="b">
        <v>1</v>
      </c>
      <c r="L65" s="47" t="b">
        <v>1</v>
      </c>
      <c r="M65" s="47" t="b">
        <v>1</v>
      </c>
      <c r="N65" s="47" t="b">
        <v>1</v>
      </c>
      <c r="O65" s="61">
        <v>4</v>
      </c>
      <c r="P65" s="86" t="s">
        <v>755</v>
      </c>
      <c r="Q65" s="86" t="s">
        <v>685</v>
      </c>
      <c r="R65" s="86" t="s">
        <v>686</v>
      </c>
      <c r="S65" s="104" t="s">
        <v>286</v>
      </c>
      <c r="T65" s="104"/>
      <c r="U65" s="104"/>
      <c r="V65" s="104"/>
      <c r="W65" s="104"/>
      <c r="X65" s="104"/>
      <c r="Y65" s="104"/>
      <c r="Z65" s="104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</row>
    <row r="66" spans="1:41" ht="25.5" customHeight="1">
      <c r="A66" s="61">
        <v>4832</v>
      </c>
      <c r="B66" s="43" t="s">
        <v>139</v>
      </c>
      <c r="C66" s="61">
        <v>90</v>
      </c>
      <c r="D66" s="43" t="s">
        <v>279</v>
      </c>
      <c r="E66" s="43" t="s">
        <v>280</v>
      </c>
      <c r="F66" s="43" t="s">
        <v>33</v>
      </c>
      <c r="G66" s="43" t="s">
        <v>31</v>
      </c>
      <c r="H66" s="43" t="s">
        <v>12</v>
      </c>
      <c r="I66" s="43" t="s">
        <v>34</v>
      </c>
      <c r="J66" s="43" t="s">
        <v>213</v>
      </c>
      <c r="K66" s="47" t="b">
        <v>1</v>
      </c>
      <c r="L66" s="47" t="b">
        <v>1</v>
      </c>
      <c r="M66" s="47" t="b">
        <v>1</v>
      </c>
      <c r="N66" s="47" t="b">
        <v>1</v>
      </c>
      <c r="O66" s="61">
        <v>6</v>
      </c>
      <c r="P66" s="86" t="s">
        <v>754</v>
      </c>
      <c r="Q66" s="86" t="s">
        <v>685</v>
      </c>
      <c r="R66" s="86" t="s">
        <v>686</v>
      </c>
      <c r="S66" s="104" t="s">
        <v>287</v>
      </c>
      <c r="T66" s="104"/>
      <c r="U66" s="104"/>
      <c r="V66" s="104"/>
      <c r="W66" s="104"/>
      <c r="X66" s="104"/>
      <c r="Y66" s="104"/>
      <c r="Z66" s="104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</row>
    <row r="67" spans="1:41" s="84" customFormat="1" ht="12.75" customHeight="1">
      <c r="A67" s="81">
        <v>5152</v>
      </c>
      <c r="B67" s="82" t="s">
        <v>140</v>
      </c>
      <c r="C67" s="81">
        <v>100</v>
      </c>
      <c r="D67" s="82" t="s">
        <v>279</v>
      </c>
      <c r="E67" s="82" t="s">
        <v>280</v>
      </c>
      <c r="F67" s="82" t="s">
        <v>33</v>
      </c>
      <c r="G67" s="82" t="s">
        <v>31</v>
      </c>
      <c r="H67" s="82" t="s">
        <v>35</v>
      </c>
      <c r="I67" s="82" t="s">
        <v>12</v>
      </c>
      <c r="J67" s="82" t="s">
        <v>212</v>
      </c>
      <c r="K67" s="83" t="b">
        <v>1</v>
      </c>
      <c r="L67" s="83" t="b">
        <v>1</v>
      </c>
      <c r="M67" s="83" t="b">
        <v>1</v>
      </c>
      <c r="N67" s="83" t="b">
        <v>1</v>
      </c>
      <c r="O67" s="81">
        <v>4</v>
      </c>
      <c r="P67" s="92" t="s">
        <v>697</v>
      </c>
      <c r="Q67" s="86" t="s">
        <v>685</v>
      </c>
      <c r="R67" s="86" t="s">
        <v>686</v>
      </c>
      <c r="S67" s="113" t="s">
        <v>288</v>
      </c>
      <c r="T67" s="113"/>
      <c r="U67" s="113"/>
      <c r="V67" s="113"/>
      <c r="W67" s="113"/>
      <c r="X67" s="113"/>
      <c r="Y67" s="113"/>
      <c r="Z67" s="113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  <c r="AM67" s="82"/>
      <c r="AN67" s="82"/>
      <c r="AO67" s="82"/>
    </row>
    <row r="68" spans="1:41" s="84" customFormat="1" ht="12.75" customHeight="1">
      <c r="A68" s="81">
        <v>5151</v>
      </c>
      <c r="B68" s="82" t="s">
        <v>141</v>
      </c>
      <c r="C68" s="81">
        <v>90</v>
      </c>
      <c r="D68" s="82" t="s">
        <v>279</v>
      </c>
      <c r="E68" s="82" t="s">
        <v>280</v>
      </c>
      <c r="F68" s="82" t="s">
        <v>33</v>
      </c>
      <c r="G68" s="82" t="s">
        <v>31</v>
      </c>
      <c r="H68" s="82" t="s">
        <v>35</v>
      </c>
      <c r="I68" s="82" t="s">
        <v>12</v>
      </c>
      <c r="J68" s="82" t="s">
        <v>212</v>
      </c>
      <c r="K68" s="83" t="b">
        <v>1</v>
      </c>
      <c r="L68" s="83" t="b">
        <v>1</v>
      </c>
      <c r="M68" s="83" t="b">
        <v>1</v>
      </c>
      <c r="N68" s="83" t="b">
        <v>1</v>
      </c>
      <c r="O68" s="81">
        <v>4</v>
      </c>
      <c r="P68" s="101" t="s">
        <v>751</v>
      </c>
      <c r="Q68" s="86" t="s">
        <v>685</v>
      </c>
      <c r="R68" s="86" t="s">
        <v>686</v>
      </c>
      <c r="S68" s="113" t="s">
        <v>288</v>
      </c>
      <c r="T68" s="113"/>
      <c r="U68" s="113"/>
      <c r="V68" s="113"/>
      <c r="W68" s="113"/>
      <c r="X68" s="113"/>
      <c r="Y68" s="113"/>
      <c r="Z68" s="113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  <c r="AM68" s="82"/>
      <c r="AN68" s="82"/>
      <c r="AO68" s="82"/>
    </row>
    <row r="69" spans="1:41" s="84" customFormat="1" ht="12.75" customHeight="1">
      <c r="A69" s="81">
        <v>5110</v>
      </c>
      <c r="B69" s="82" t="s">
        <v>138</v>
      </c>
      <c r="C69" s="81">
        <v>100</v>
      </c>
      <c r="D69" s="82" t="s">
        <v>279</v>
      </c>
      <c r="E69" s="82" t="s">
        <v>280</v>
      </c>
      <c r="F69" s="82" t="s">
        <v>33</v>
      </c>
      <c r="G69" s="82" t="s">
        <v>31</v>
      </c>
      <c r="H69" s="82" t="s">
        <v>35</v>
      </c>
      <c r="I69" s="82" t="s">
        <v>12</v>
      </c>
      <c r="J69" s="82" t="s">
        <v>212</v>
      </c>
      <c r="K69" s="83" t="b">
        <v>1</v>
      </c>
      <c r="L69" s="83" t="b">
        <v>1</v>
      </c>
      <c r="M69" s="83" t="b">
        <v>1</v>
      </c>
      <c r="N69" s="83" t="b">
        <v>1</v>
      </c>
      <c r="O69" s="81">
        <v>4.5</v>
      </c>
      <c r="P69" s="101" t="s">
        <v>696</v>
      </c>
      <c r="Q69" s="86" t="s">
        <v>685</v>
      </c>
      <c r="R69" s="86" t="s">
        <v>686</v>
      </c>
      <c r="S69" s="113" t="s">
        <v>289</v>
      </c>
      <c r="T69" s="113"/>
      <c r="U69" s="113"/>
      <c r="V69" s="113"/>
      <c r="W69" s="113"/>
      <c r="X69" s="113"/>
      <c r="Y69" s="113"/>
      <c r="Z69" s="113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82"/>
      <c r="AM69" s="82"/>
      <c r="AN69" s="82"/>
      <c r="AO69" s="82"/>
    </row>
    <row r="70" spans="1:41" ht="12.75" customHeight="1">
      <c r="A70" s="61">
        <v>4480</v>
      </c>
      <c r="B70" s="43" t="s">
        <v>74</v>
      </c>
      <c r="C70" s="61">
        <v>100</v>
      </c>
      <c r="D70" s="43" t="s">
        <v>13</v>
      </c>
      <c r="E70" s="43" t="s">
        <v>290</v>
      </c>
      <c r="F70" s="43"/>
      <c r="G70" s="43" t="s">
        <v>13</v>
      </c>
      <c r="H70" s="43"/>
      <c r="I70" s="43"/>
      <c r="J70" s="43" t="s">
        <v>212</v>
      </c>
      <c r="K70" s="47" t="b">
        <v>1</v>
      </c>
      <c r="L70" s="47" t="b">
        <v>1</v>
      </c>
      <c r="M70" s="47" t="b">
        <v>1</v>
      </c>
      <c r="N70" s="47" t="b">
        <v>0</v>
      </c>
      <c r="O70" s="61">
        <v>5</v>
      </c>
      <c r="P70" s="86" t="s">
        <v>695</v>
      </c>
      <c r="Q70" s="86" t="s">
        <v>748</v>
      </c>
      <c r="R70" s="86"/>
      <c r="S70" s="104" t="s">
        <v>75</v>
      </c>
      <c r="T70" s="104"/>
      <c r="U70" s="104"/>
      <c r="V70" s="104"/>
      <c r="W70" s="104"/>
      <c r="X70" s="104"/>
      <c r="Y70" s="104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</row>
    <row r="71" spans="1:41" ht="12.75" customHeight="1">
      <c r="A71" s="61">
        <v>4481</v>
      </c>
      <c r="B71" s="43" t="s">
        <v>88</v>
      </c>
      <c r="C71" s="61">
        <v>100</v>
      </c>
      <c r="D71" s="43" t="s">
        <v>13</v>
      </c>
      <c r="E71" s="43" t="s">
        <v>290</v>
      </c>
      <c r="F71" s="43"/>
      <c r="G71" s="43" t="s">
        <v>13</v>
      </c>
      <c r="H71" s="43"/>
      <c r="I71" s="43"/>
      <c r="J71" s="43" t="s">
        <v>212</v>
      </c>
      <c r="K71" s="47" t="b">
        <v>1</v>
      </c>
      <c r="L71" s="47" t="b">
        <v>1</v>
      </c>
      <c r="M71" s="47" t="b">
        <v>1</v>
      </c>
      <c r="N71" s="47" t="b">
        <v>0</v>
      </c>
      <c r="O71" s="61">
        <v>5</v>
      </c>
      <c r="P71" s="86" t="s">
        <v>747</v>
      </c>
      <c r="Q71" s="86" t="s">
        <v>748</v>
      </c>
      <c r="R71" s="86"/>
      <c r="S71" s="104" t="s">
        <v>89</v>
      </c>
      <c r="T71" s="104"/>
      <c r="U71" s="104"/>
      <c r="V71" s="104"/>
      <c r="W71" s="104"/>
      <c r="X71" s="104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</row>
    <row r="72" spans="1:41" ht="12.75" customHeight="1">
      <c r="A72" s="68">
        <v>4651</v>
      </c>
      <c r="B72" s="51" t="s">
        <v>90</v>
      </c>
      <c r="C72" s="68">
        <v>100</v>
      </c>
      <c r="D72" s="51" t="s">
        <v>291</v>
      </c>
      <c r="E72" s="51" t="s">
        <v>292</v>
      </c>
      <c r="F72" s="55" t="s">
        <v>9</v>
      </c>
      <c r="G72" s="51" t="s">
        <v>10</v>
      </c>
      <c r="H72" s="51"/>
      <c r="I72" s="51"/>
      <c r="J72" s="51" t="s">
        <v>213</v>
      </c>
      <c r="K72" s="69" t="b">
        <v>1</v>
      </c>
      <c r="L72" s="69" t="b">
        <v>1</v>
      </c>
      <c r="M72" s="69" t="b">
        <v>1</v>
      </c>
      <c r="N72" s="69" t="b">
        <v>1</v>
      </c>
      <c r="O72" s="68">
        <v>10</v>
      </c>
      <c r="P72" s="90" t="s">
        <v>737</v>
      </c>
      <c r="Q72" s="86" t="s">
        <v>685</v>
      </c>
      <c r="R72" s="86" t="s">
        <v>686</v>
      </c>
      <c r="S72" s="103" t="s">
        <v>91</v>
      </c>
      <c r="T72" s="103"/>
      <c r="U72" s="103"/>
      <c r="V72" s="103"/>
      <c r="W72" s="103"/>
      <c r="X72" s="103"/>
      <c r="Y72" s="103"/>
      <c r="Z72" s="103"/>
      <c r="AA72" s="51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</row>
    <row r="73" spans="1:41" ht="12.75" customHeight="1">
      <c r="A73" s="68">
        <v>4746</v>
      </c>
      <c r="B73" s="51" t="s">
        <v>103</v>
      </c>
      <c r="C73" s="68">
        <v>90</v>
      </c>
      <c r="D73" s="51" t="s">
        <v>291</v>
      </c>
      <c r="E73" s="51" t="s">
        <v>292</v>
      </c>
      <c r="F73" s="55" t="s">
        <v>9</v>
      </c>
      <c r="G73" s="51" t="s">
        <v>17</v>
      </c>
      <c r="H73" s="103" t="s">
        <v>10</v>
      </c>
      <c r="I73" s="103"/>
      <c r="J73" s="51" t="s">
        <v>213</v>
      </c>
      <c r="K73" s="69" t="b">
        <v>1</v>
      </c>
      <c r="L73" s="69" t="b">
        <v>1</v>
      </c>
      <c r="M73" s="69" t="b">
        <v>1</v>
      </c>
      <c r="N73" s="69" t="b">
        <v>1</v>
      </c>
      <c r="O73" s="68">
        <v>8.5</v>
      </c>
      <c r="P73" s="90" t="s">
        <v>736</v>
      </c>
      <c r="Q73" s="86" t="s">
        <v>685</v>
      </c>
      <c r="R73" s="86" t="s">
        <v>686</v>
      </c>
      <c r="S73" s="103" t="s">
        <v>293</v>
      </c>
      <c r="T73" s="103"/>
      <c r="U73" s="103"/>
      <c r="V73" s="103"/>
      <c r="W73" s="103"/>
      <c r="X73" s="103"/>
      <c r="Y73" s="103"/>
      <c r="Z73" s="51"/>
      <c r="AA73" s="51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</row>
    <row r="74" spans="1:41" ht="25.5" customHeight="1">
      <c r="A74" s="68">
        <v>4676</v>
      </c>
      <c r="B74" s="51" t="s">
        <v>105</v>
      </c>
      <c r="C74" s="68">
        <v>90</v>
      </c>
      <c r="D74" s="51" t="s">
        <v>291</v>
      </c>
      <c r="E74" s="51" t="s">
        <v>292</v>
      </c>
      <c r="F74" s="55" t="s">
        <v>9</v>
      </c>
      <c r="G74" s="51" t="s">
        <v>17</v>
      </c>
      <c r="H74" s="103" t="s">
        <v>10</v>
      </c>
      <c r="I74" s="103"/>
      <c r="J74" s="51" t="s">
        <v>213</v>
      </c>
      <c r="K74" s="69" t="b">
        <v>1</v>
      </c>
      <c r="L74" s="69" t="b">
        <v>1</v>
      </c>
      <c r="M74" s="69" t="b">
        <v>1</v>
      </c>
      <c r="N74" s="69" t="b">
        <v>1</v>
      </c>
      <c r="O74" s="68">
        <v>7.5</v>
      </c>
      <c r="P74" s="90" t="s">
        <v>738</v>
      </c>
      <c r="Q74" s="86" t="s">
        <v>685</v>
      </c>
      <c r="R74" s="86" t="s">
        <v>686</v>
      </c>
      <c r="S74" s="103" t="s">
        <v>106</v>
      </c>
      <c r="T74" s="103"/>
      <c r="U74" s="103"/>
      <c r="V74" s="103"/>
      <c r="W74" s="103"/>
      <c r="X74" s="103"/>
      <c r="Y74" s="103"/>
      <c r="Z74" s="103"/>
      <c r="AA74" s="51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</row>
    <row r="75" spans="1:41" ht="25.5" customHeight="1">
      <c r="A75" s="68">
        <v>4698</v>
      </c>
      <c r="B75" s="51" t="s">
        <v>151</v>
      </c>
      <c r="C75" s="68">
        <v>100</v>
      </c>
      <c r="D75" s="51" t="s">
        <v>291</v>
      </c>
      <c r="E75" s="51" t="s">
        <v>292</v>
      </c>
      <c r="F75" s="55" t="s">
        <v>9</v>
      </c>
      <c r="G75" s="51" t="s">
        <v>10</v>
      </c>
      <c r="H75" s="51" t="s">
        <v>294</v>
      </c>
      <c r="I75" s="51"/>
      <c r="J75" s="51" t="s">
        <v>213</v>
      </c>
      <c r="K75" s="69" t="b">
        <v>1</v>
      </c>
      <c r="L75" s="69" t="b">
        <v>1</v>
      </c>
      <c r="M75" s="69" t="b">
        <v>1</v>
      </c>
      <c r="N75" s="69" t="b">
        <v>1</v>
      </c>
      <c r="O75" s="68">
        <v>9.5</v>
      </c>
      <c r="P75" s="90" t="s">
        <v>739</v>
      </c>
      <c r="Q75" s="86" t="s">
        <v>621</v>
      </c>
      <c r="R75" s="86" t="s">
        <v>740</v>
      </c>
      <c r="S75" s="103" t="s">
        <v>152</v>
      </c>
      <c r="T75" s="103"/>
      <c r="U75" s="103"/>
      <c r="V75" s="103"/>
      <c r="W75" s="103"/>
      <c r="X75" s="103"/>
      <c r="Y75" s="103"/>
      <c r="Z75" s="51"/>
      <c r="AA75" s="51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</row>
    <row r="76" spans="1:41" ht="12.75" customHeight="1">
      <c r="A76" s="68">
        <v>5363</v>
      </c>
      <c r="B76" s="51" t="s">
        <v>154</v>
      </c>
      <c r="C76" s="68">
        <v>80</v>
      </c>
      <c r="D76" s="51" t="s">
        <v>291</v>
      </c>
      <c r="E76" s="51" t="s">
        <v>292</v>
      </c>
      <c r="F76" s="55" t="s">
        <v>9</v>
      </c>
      <c r="G76" s="51" t="s">
        <v>22</v>
      </c>
      <c r="H76" s="103" t="s">
        <v>10</v>
      </c>
      <c r="I76" s="103"/>
      <c r="J76" s="51" t="s">
        <v>213</v>
      </c>
      <c r="K76" s="69" t="b">
        <v>1</v>
      </c>
      <c r="L76" s="69" t="b">
        <v>1</v>
      </c>
      <c r="M76" s="69" t="b">
        <v>1</v>
      </c>
      <c r="N76" s="69" t="b">
        <v>1</v>
      </c>
      <c r="O76" s="68">
        <v>11.5</v>
      </c>
      <c r="P76" s="90" t="s">
        <v>741</v>
      </c>
      <c r="Q76" s="86" t="s">
        <v>742</v>
      </c>
      <c r="R76" s="86" t="s">
        <v>674</v>
      </c>
      <c r="S76" s="103" t="s">
        <v>296</v>
      </c>
      <c r="T76" s="103"/>
      <c r="U76" s="103"/>
      <c r="V76" s="103"/>
      <c r="W76" s="103"/>
      <c r="X76" s="103"/>
      <c r="Y76" s="103"/>
      <c r="Z76" s="51"/>
      <c r="AA76" s="51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</row>
    <row r="77" spans="1:41" ht="12.75" customHeight="1">
      <c r="A77" s="68">
        <v>4744</v>
      </c>
      <c r="B77" s="51" t="s">
        <v>188</v>
      </c>
      <c r="C77" s="68">
        <v>70</v>
      </c>
      <c r="D77" s="51" t="s">
        <v>291</v>
      </c>
      <c r="E77" s="51" t="s">
        <v>292</v>
      </c>
      <c r="F77" s="55" t="s">
        <v>9</v>
      </c>
      <c r="G77" s="51" t="s">
        <v>17</v>
      </c>
      <c r="H77" s="51" t="s">
        <v>10</v>
      </c>
      <c r="I77" s="51" t="s">
        <v>16</v>
      </c>
      <c r="J77" s="51" t="s">
        <v>213</v>
      </c>
      <c r="K77" s="69" t="b">
        <v>1</v>
      </c>
      <c r="L77" s="69" t="b">
        <v>1</v>
      </c>
      <c r="M77" s="69" t="b">
        <v>1</v>
      </c>
      <c r="N77" s="69" t="b">
        <v>1</v>
      </c>
      <c r="O77" s="68">
        <v>9.5</v>
      </c>
      <c r="P77" s="90" t="s">
        <v>743</v>
      </c>
      <c r="Q77" s="86" t="s">
        <v>685</v>
      </c>
      <c r="R77" s="86" t="s">
        <v>686</v>
      </c>
      <c r="S77" s="103" t="s">
        <v>297</v>
      </c>
      <c r="T77" s="103"/>
      <c r="U77" s="103"/>
      <c r="V77" s="103"/>
      <c r="W77" s="103"/>
      <c r="X77" s="103"/>
      <c r="Y77" s="103"/>
      <c r="Z77" s="103"/>
      <c r="AA77" s="51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</row>
    <row r="78" spans="1:41" ht="12.75" customHeight="1">
      <c r="A78" s="77">
        <v>4774</v>
      </c>
      <c r="B78" s="78" t="s">
        <v>581</v>
      </c>
      <c r="C78" s="77">
        <v>70</v>
      </c>
      <c r="D78" s="78" t="s">
        <v>299</v>
      </c>
      <c r="E78" s="44" t="s">
        <v>300</v>
      </c>
      <c r="F78" s="56" t="s">
        <v>9</v>
      </c>
      <c r="G78" s="44" t="s">
        <v>35</v>
      </c>
      <c r="H78" s="44" t="s">
        <v>10</v>
      </c>
      <c r="I78" s="44" t="s">
        <v>16</v>
      </c>
      <c r="J78" s="44" t="s">
        <v>213</v>
      </c>
      <c r="K78" s="48" t="b">
        <v>1</v>
      </c>
      <c r="L78" s="48" t="b">
        <v>1</v>
      </c>
      <c r="M78" s="48" t="b">
        <v>1</v>
      </c>
      <c r="N78" s="48" t="b">
        <v>1</v>
      </c>
      <c r="O78" s="79">
        <v>7.25</v>
      </c>
      <c r="P78" s="98" t="s">
        <v>691</v>
      </c>
      <c r="Q78" s="86" t="s">
        <v>685</v>
      </c>
      <c r="R78" s="86" t="s">
        <v>686</v>
      </c>
      <c r="S78" s="111" t="s">
        <v>295</v>
      </c>
      <c r="T78" s="111"/>
      <c r="U78" s="111"/>
      <c r="V78" s="111"/>
      <c r="W78" s="111"/>
      <c r="X78" s="111"/>
      <c r="Y78" s="111"/>
      <c r="Z78" s="111"/>
      <c r="AA78" s="44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</row>
    <row r="79" spans="1:41" ht="25.5" customHeight="1">
      <c r="A79" s="77">
        <v>5669</v>
      </c>
      <c r="B79" s="78" t="s">
        <v>298</v>
      </c>
      <c r="C79" s="77">
        <v>100</v>
      </c>
      <c r="D79" s="78" t="s">
        <v>299</v>
      </c>
      <c r="E79" s="43" t="s">
        <v>300</v>
      </c>
      <c r="F79" s="57" t="s">
        <v>9</v>
      </c>
      <c r="G79" s="43" t="s">
        <v>10</v>
      </c>
      <c r="H79" s="43" t="s">
        <v>26</v>
      </c>
      <c r="I79" s="43" t="s">
        <v>294</v>
      </c>
      <c r="J79" s="43" t="s">
        <v>212</v>
      </c>
      <c r="K79" s="47" t="b">
        <v>1</v>
      </c>
      <c r="L79" s="47" t="b">
        <v>1</v>
      </c>
      <c r="M79" s="47" t="b">
        <v>1</v>
      </c>
      <c r="N79" s="47" t="b">
        <v>1</v>
      </c>
      <c r="O79" s="61">
        <v>5.25</v>
      </c>
      <c r="P79" s="98" t="s">
        <v>745</v>
      </c>
      <c r="Q79" s="86" t="s">
        <v>685</v>
      </c>
      <c r="R79" s="86" t="s">
        <v>686</v>
      </c>
      <c r="S79" s="104" t="s">
        <v>301</v>
      </c>
      <c r="T79" s="104"/>
      <c r="U79" s="104"/>
      <c r="V79" s="104"/>
      <c r="W79" s="104"/>
      <c r="X79" s="104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</row>
    <row r="80" spans="1:41" ht="25.5" customHeight="1">
      <c r="A80" s="77">
        <v>4472</v>
      </c>
      <c r="B80" s="78" t="s">
        <v>302</v>
      </c>
      <c r="C80" s="77">
        <v>90</v>
      </c>
      <c r="D80" s="78" t="s">
        <v>299</v>
      </c>
      <c r="E80" s="43" t="s">
        <v>300</v>
      </c>
      <c r="F80" s="57" t="s">
        <v>9</v>
      </c>
      <c r="G80" s="43" t="s">
        <v>10</v>
      </c>
      <c r="H80" s="43" t="s">
        <v>26</v>
      </c>
      <c r="I80" s="43" t="s">
        <v>16</v>
      </c>
      <c r="J80" s="43" t="s">
        <v>212</v>
      </c>
      <c r="K80" s="47" t="b">
        <v>1</v>
      </c>
      <c r="L80" s="47" t="b">
        <v>1</v>
      </c>
      <c r="M80" s="47" t="b">
        <v>1</v>
      </c>
      <c r="N80" s="47" t="b">
        <v>1</v>
      </c>
      <c r="O80" s="61">
        <v>6.25</v>
      </c>
      <c r="P80" s="98" t="s">
        <v>744</v>
      </c>
      <c r="Q80" s="86" t="s">
        <v>685</v>
      </c>
      <c r="R80" s="86" t="s">
        <v>686</v>
      </c>
      <c r="S80" s="104" t="s">
        <v>303</v>
      </c>
      <c r="T80" s="104"/>
      <c r="U80" s="104"/>
      <c r="V80" s="104"/>
      <c r="W80" s="104"/>
      <c r="X80" s="104"/>
      <c r="Y80" s="104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</row>
    <row r="81" spans="1:41" ht="25.5" customHeight="1">
      <c r="A81" s="77">
        <v>5670</v>
      </c>
      <c r="B81" s="78" t="s">
        <v>304</v>
      </c>
      <c r="C81" s="77">
        <v>90</v>
      </c>
      <c r="D81" s="78" t="s">
        <v>299</v>
      </c>
      <c r="E81" s="43" t="s">
        <v>300</v>
      </c>
      <c r="F81" s="57" t="s">
        <v>9</v>
      </c>
      <c r="G81" s="43" t="s">
        <v>10</v>
      </c>
      <c r="H81" s="43" t="s">
        <v>26</v>
      </c>
      <c r="I81" s="43" t="s">
        <v>16</v>
      </c>
      <c r="J81" s="43" t="s">
        <v>212</v>
      </c>
      <c r="K81" s="47" t="b">
        <v>1</v>
      </c>
      <c r="L81" s="47" t="b">
        <v>1</v>
      </c>
      <c r="M81" s="47" t="b">
        <v>1</v>
      </c>
      <c r="N81" s="47" t="b">
        <v>1</v>
      </c>
      <c r="O81" s="61">
        <v>6.25</v>
      </c>
      <c r="P81" s="98" t="s">
        <v>691</v>
      </c>
      <c r="Q81" s="86" t="s">
        <v>685</v>
      </c>
      <c r="R81" s="86" t="s">
        <v>686</v>
      </c>
      <c r="S81" s="104" t="s">
        <v>305</v>
      </c>
      <c r="T81" s="104"/>
      <c r="U81" s="104"/>
      <c r="V81" s="104"/>
      <c r="W81" s="104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</row>
    <row r="82" spans="1:41" ht="25.5" customHeight="1">
      <c r="A82" s="77">
        <v>4474</v>
      </c>
      <c r="B82" s="78" t="s">
        <v>306</v>
      </c>
      <c r="C82" s="77">
        <v>90</v>
      </c>
      <c r="D82" s="78" t="s">
        <v>299</v>
      </c>
      <c r="E82" s="43" t="s">
        <v>300</v>
      </c>
      <c r="F82" s="57" t="s">
        <v>9</v>
      </c>
      <c r="G82" s="43" t="s">
        <v>10</v>
      </c>
      <c r="H82" s="43" t="s">
        <v>294</v>
      </c>
      <c r="I82" s="43" t="s">
        <v>16</v>
      </c>
      <c r="J82" s="43" t="s">
        <v>213</v>
      </c>
      <c r="K82" s="47" t="b">
        <v>1</v>
      </c>
      <c r="L82" s="47" t="b">
        <v>1</v>
      </c>
      <c r="M82" s="47" t="b">
        <v>1</v>
      </c>
      <c r="N82" s="47" t="b">
        <v>1</v>
      </c>
      <c r="O82" s="61">
        <v>8</v>
      </c>
      <c r="P82" s="98" t="s">
        <v>744</v>
      </c>
      <c r="Q82" s="86" t="s">
        <v>685</v>
      </c>
      <c r="R82" s="86" t="s">
        <v>686</v>
      </c>
      <c r="S82" s="104" t="s">
        <v>307</v>
      </c>
      <c r="T82" s="104"/>
      <c r="U82" s="104"/>
      <c r="V82" s="104"/>
      <c r="W82" s="104"/>
      <c r="X82" s="104"/>
      <c r="Y82" s="104"/>
      <c r="Z82" s="104"/>
      <c r="AA82" s="104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</row>
    <row r="83" spans="1:41" ht="25.5" customHeight="1">
      <c r="A83" s="77">
        <v>4478</v>
      </c>
      <c r="B83" s="78" t="s">
        <v>308</v>
      </c>
      <c r="C83" s="77">
        <v>95</v>
      </c>
      <c r="D83" s="78" t="s">
        <v>299</v>
      </c>
      <c r="E83" s="43" t="s">
        <v>300</v>
      </c>
      <c r="F83" s="57" t="s">
        <v>9</v>
      </c>
      <c r="G83" s="43" t="s">
        <v>10</v>
      </c>
      <c r="H83" s="43" t="s">
        <v>26</v>
      </c>
      <c r="I83" s="43" t="s">
        <v>294</v>
      </c>
      <c r="J83" s="43" t="s">
        <v>212</v>
      </c>
      <c r="K83" s="47" t="b">
        <v>1</v>
      </c>
      <c r="L83" s="47" t="b">
        <v>1</v>
      </c>
      <c r="M83" s="47" t="b">
        <v>1</v>
      </c>
      <c r="N83" s="47" t="b">
        <v>1</v>
      </c>
      <c r="O83" s="61">
        <v>4.5</v>
      </c>
      <c r="P83" s="98" t="s">
        <v>691</v>
      </c>
      <c r="Q83" s="86" t="s">
        <v>685</v>
      </c>
      <c r="R83" s="86" t="s">
        <v>686</v>
      </c>
      <c r="S83" s="104" t="s">
        <v>309</v>
      </c>
      <c r="T83" s="104"/>
      <c r="U83" s="104"/>
      <c r="V83" s="104"/>
      <c r="W83" s="104"/>
      <c r="X83" s="104"/>
      <c r="Y83" s="104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</row>
    <row r="84" spans="1:41" ht="25.5" customHeight="1">
      <c r="A84" s="77">
        <v>5362</v>
      </c>
      <c r="B84" s="78" t="s">
        <v>310</v>
      </c>
      <c r="C84" s="77">
        <v>95</v>
      </c>
      <c r="D84" s="78" t="s">
        <v>299</v>
      </c>
      <c r="E84" s="43" t="s">
        <v>300</v>
      </c>
      <c r="F84" s="57" t="s">
        <v>9</v>
      </c>
      <c r="G84" s="43" t="s">
        <v>10</v>
      </c>
      <c r="H84" s="43" t="s">
        <v>16</v>
      </c>
      <c r="I84" s="43" t="s">
        <v>294</v>
      </c>
      <c r="J84" s="43" t="s">
        <v>213</v>
      </c>
      <c r="K84" s="47" t="b">
        <v>1</v>
      </c>
      <c r="L84" s="47" t="b">
        <v>1</v>
      </c>
      <c r="M84" s="47" t="b">
        <v>1</v>
      </c>
      <c r="N84" s="47" t="b">
        <v>1</v>
      </c>
      <c r="O84" s="61">
        <v>8</v>
      </c>
      <c r="P84" s="98" t="s">
        <v>744</v>
      </c>
      <c r="Q84" s="86" t="s">
        <v>685</v>
      </c>
      <c r="R84" s="86" t="s">
        <v>686</v>
      </c>
      <c r="S84" s="104" t="s">
        <v>311</v>
      </c>
      <c r="T84" s="104"/>
      <c r="U84" s="104"/>
      <c r="V84" s="104"/>
      <c r="W84" s="104"/>
      <c r="X84" s="104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</row>
    <row r="85" spans="1:41" ht="25.5" customHeight="1">
      <c r="A85" s="77">
        <v>5668</v>
      </c>
      <c r="B85" s="78" t="s">
        <v>312</v>
      </c>
      <c r="C85" s="77">
        <v>85</v>
      </c>
      <c r="D85" s="78" t="s">
        <v>299</v>
      </c>
      <c r="E85" s="43" t="s">
        <v>300</v>
      </c>
      <c r="F85" s="57" t="s">
        <v>9</v>
      </c>
      <c r="G85" s="43" t="s">
        <v>10</v>
      </c>
      <c r="H85" s="43" t="s">
        <v>26</v>
      </c>
      <c r="I85" s="43" t="s">
        <v>16</v>
      </c>
      <c r="J85" s="43" t="s">
        <v>213</v>
      </c>
      <c r="K85" s="47" t="b">
        <v>1</v>
      </c>
      <c r="L85" s="47" t="b">
        <v>1</v>
      </c>
      <c r="M85" s="47" t="b">
        <v>1</v>
      </c>
      <c r="N85" s="47" t="b">
        <v>1</v>
      </c>
      <c r="O85" s="61">
        <v>7</v>
      </c>
      <c r="P85" s="98" t="s">
        <v>691</v>
      </c>
      <c r="Q85" s="86" t="s">
        <v>685</v>
      </c>
      <c r="R85" s="86" t="s">
        <v>686</v>
      </c>
      <c r="S85" s="104" t="s">
        <v>313</v>
      </c>
      <c r="T85" s="104"/>
      <c r="U85" s="104"/>
      <c r="V85" s="104"/>
      <c r="W85" s="104"/>
      <c r="X85" s="104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</row>
    <row r="86" spans="1:41" ht="25.5" customHeight="1">
      <c r="A86" s="77">
        <v>5361</v>
      </c>
      <c r="B86" s="78" t="s">
        <v>314</v>
      </c>
      <c r="C86" s="77">
        <v>95</v>
      </c>
      <c r="D86" s="78" t="s">
        <v>299</v>
      </c>
      <c r="E86" s="43" t="s">
        <v>300</v>
      </c>
      <c r="F86" s="57" t="s">
        <v>9</v>
      </c>
      <c r="G86" s="43" t="s">
        <v>10</v>
      </c>
      <c r="H86" s="43" t="s">
        <v>26</v>
      </c>
      <c r="I86" s="43" t="s">
        <v>16</v>
      </c>
      <c r="J86" s="43" t="s">
        <v>212</v>
      </c>
      <c r="K86" s="47" t="b">
        <v>1</v>
      </c>
      <c r="L86" s="47" t="b">
        <v>1</v>
      </c>
      <c r="M86" s="47" t="b">
        <v>1</v>
      </c>
      <c r="N86" s="47" t="b">
        <v>1</v>
      </c>
      <c r="O86" s="61">
        <v>4.5</v>
      </c>
      <c r="P86" s="98" t="s">
        <v>746</v>
      </c>
      <c r="Q86" s="86" t="s">
        <v>685</v>
      </c>
      <c r="R86" s="86" t="s">
        <v>686</v>
      </c>
      <c r="S86" s="104" t="s">
        <v>315</v>
      </c>
      <c r="T86" s="104"/>
      <c r="U86" s="104"/>
      <c r="V86" s="104"/>
      <c r="W86" s="104"/>
      <c r="X86" s="104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</row>
    <row r="87" spans="1:41" ht="25.5" customHeight="1">
      <c r="A87" s="77">
        <v>5724</v>
      </c>
      <c r="B87" s="78" t="s">
        <v>316</v>
      </c>
      <c r="C87" s="77">
        <v>95</v>
      </c>
      <c r="D87" s="78" t="s">
        <v>299</v>
      </c>
      <c r="E87" s="43" t="s">
        <v>300</v>
      </c>
      <c r="F87" s="57" t="s">
        <v>9</v>
      </c>
      <c r="G87" s="43" t="s">
        <v>10</v>
      </c>
      <c r="H87" s="43" t="s">
        <v>26</v>
      </c>
      <c r="I87" s="43" t="s">
        <v>16</v>
      </c>
      <c r="J87" s="43" t="s">
        <v>213</v>
      </c>
      <c r="K87" s="47" t="b">
        <v>1</v>
      </c>
      <c r="L87" s="47" t="b">
        <v>1</v>
      </c>
      <c r="M87" s="47" t="b">
        <v>1</v>
      </c>
      <c r="N87" s="47" t="b">
        <v>1</v>
      </c>
      <c r="O87" s="61">
        <v>6</v>
      </c>
      <c r="P87" s="98" t="s">
        <v>746</v>
      </c>
      <c r="Q87" s="86" t="s">
        <v>685</v>
      </c>
      <c r="R87" s="86" t="s">
        <v>686</v>
      </c>
      <c r="S87" s="104" t="s">
        <v>317</v>
      </c>
      <c r="T87" s="104"/>
      <c r="U87" s="104"/>
      <c r="V87" s="104"/>
      <c r="W87" s="104"/>
      <c r="X87" s="104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</row>
    <row r="88" spans="1:41" ht="25.5" customHeight="1">
      <c r="A88" s="61">
        <v>5631</v>
      </c>
      <c r="B88" s="43" t="s">
        <v>318</v>
      </c>
      <c r="C88" s="61">
        <v>100</v>
      </c>
      <c r="D88" s="43" t="s">
        <v>319</v>
      </c>
      <c r="E88" s="43" t="s">
        <v>320</v>
      </c>
      <c r="F88" s="43"/>
      <c r="G88" s="43" t="s">
        <v>17</v>
      </c>
      <c r="H88" s="43" t="s">
        <v>23</v>
      </c>
      <c r="I88" s="43" t="s">
        <v>10</v>
      </c>
      <c r="J88" s="43" t="s">
        <v>213</v>
      </c>
      <c r="K88" s="47" t="b">
        <v>1</v>
      </c>
      <c r="L88" s="47" t="b">
        <v>1</v>
      </c>
      <c r="M88" s="47" t="b">
        <v>1</v>
      </c>
      <c r="N88" s="47" t="b">
        <v>1</v>
      </c>
      <c r="O88" s="61">
        <v>48</v>
      </c>
      <c r="P88" s="98" t="s">
        <v>693</v>
      </c>
      <c r="Q88" s="86" t="s">
        <v>685</v>
      </c>
      <c r="R88" s="86" t="s">
        <v>686</v>
      </c>
      <c r="S88" s="104" t="s">
        <v>321</v>
      </c>
      <c r="T88" s="104"/>
      <c r="U88" s="104"/>
      <c r="V88" s="104"/>
      <c r="W88" s="104"/>
      <c r="X88" s="104"/>
      <c r="Y88" s="104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</row>
    <row r="89" spans="1:41" ht="25.5" customHeight="1">
      <c r="A89" s="61">
        <v>5625</v>
      </c>
      <c r="B89" s="43" t="s">
        <v>322</v>
      </c>
      <c r="C89" s="61">
        <v>100</v>
      </c>
      <c r="D89" s="43" t="s">
        <v>319</v>
      </c>
      <c r="E89" s="43" t="s">
        <v>320</v>
      </c>
      <c r="F89" s="43"/>
      <c r="G89" s="43" t="s">
        <v>12</v>
      </c>
      <c r="H89" s="104" t="s">
        <v>17</v>
      </c>
      <c r="I89" s="104"/>
      <c r="J89" s="43" t="s">
        <v>213</v>
      </c>
      <c r="K89" s="47" t="b">
        <v>1</v>
      </c>
      <c r="L89" s="47" t="b">
        <v>1</v>
      </c>
      <c r="M89" s="47" t="b">
        <v>1</v>
      </c>
      <c r="N89" s="47" t="b">
        <v>1</v>
      </c>
      <c r="O89" s="61">
        <v>48</v>
      </c>
      <c r="P89" s="98" t="s">
        <v>692</v>
      </c>
      <c r="Q89" s="86" t="s">
        <v>685</v>
      </c>
      <c r="R89" s="86" t="s">
        <v>686</v>
      </c>
      <c r="S89" s="104" t="s">
        <v>323</v>
      </c>
      <c r="T89" s="104"/>
      <c r="U89" s="104"/>
      <c r="V89" s="104"/>
      <c r="W89" s="104"/>
      <c r="X89" s="104"/>
      <c r="Y89" s="104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</row>
    <row r="90" spans="1:41" ht="25.5" customHeight="1">
      <c r="A90" s="61">
        <v>5627</v>
      </c>
      <c r="B90" s="43" t="s">
        <v>324</v>
      </c>
      <c r="C90" s="61">
        <v>100</v>
      </c>
      <c r="D90" s="43" t="s">
        <v>319</v>
      </c>
      <c r="E90" s="43" t="s">
        <v>320</v>
      </c>
      <c r="F90" s="43"/>
      <c r="G90" s="43" t="s">
        <v>23</v>
      </c>
      <c r="H90" s="43" t="s">
        <v>10</v>
      </c>
      <c r="I90" s="43" t="s">
        <v>22</v>
      </c>
      <c r="J90" s="43" t="s">
        <v>213</v>
      </c>
      <c r="K90" s="47" t="b">
        <v>1</v>
      </c>
      <c r="L90" s="47" t="b">
        <v>1</v>
      </c>
      <c r="M90" s="47" t="b">
        <v>1</v>
      </c>
      <c r="N90" s="47" t="b">
        <v>1</v>
      </c>
      <c r="O90" s="61">
        <v>48</v>
      </c>
      <c r="P90" s="98" t="s">
        <v>694</v>
      </c>
      <c r="Q90" s="86" t="s">
        <v>685</v>
      </c>
      <c r="R90" s="86" t="s">
        <v>686</v>
      </c>
      <c r="S90" s="104" t="s">
        <v>325</v>
      </c>
      <c r="T90" s="104"/>
      <c r="U90" s="104"/>
      <c r="V90" s="104"/>
      <c r="W90" s="104"/>
      <c r="X90" s="104"/>
      <c r="Y90" s="104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</row>
    <row r="91" spans="1:41" ht="25.5" customHeight="1">
      <c r="A91" s="68">
        <v>4723</v>
      </c>
      <c r="B91" s="51" t="s">
        <v>79</v>
      </c>
      <c r="C91" s="68">
        <v>100</v>
      </c>
      <c r="D91" s="51" t="s">
        <v>326</v>
      </c>
      <c r="E91" s="103" t="s">
        <v>327</v>
      </c>
      <c r="F91" s="103"/>
      <c r="G91" s="51" t="s">
        <v>604</v>
      </c>
      <c r="H91" s="51" t="s">
        <v>10</v>
      </c>
      <c r="I91" s="51" t="s">
        <v>35</v>
      </c>
      <c r="J91" s="51" t="s">
        <v>212</v>
      </c>
      <c r="K91" s="69" t="b">
        <v>1</v>
      </c>
      <c r="L91" s="69" t="b">
        <v>1</v>
      </c>
      <c r="M91" s="69" t="b">
        <v>1</v>
      </c>
      <c r="N91" s="69" t="b">
        <v>0</v>
      </c>
      <c r="O91" s="68">
        <v>13</v>
      </c>
      <c r="P91" s="97" t="s">
        <v>688</v>
      </c>
      <c r="Q91" s="86" t="s">
        <v>689</v>
      </c>
      <c r="R91" s="86" t="s">
        <v>689</v>
      </c>
      <c r="S91" s="103" t="s">
        <v>80</v>
      </c>
      <c r="T91" s="103"/>
      <c r="U91" s="103"/>
      <c r="V91" s="103"/>
      <c r="W91" s="103"/>
      <c r="X91" s="103"/>
      <c r="Y91" s="103"/>
      <c r="Z91" s="103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43"/>
      <c r="AO91" s="43"/>
    </row>
    <row r="92" spans="1:41" ht="25.5" customHeight="1">
      <c r="A92" s="68">
        <v>5157</v>
      </c>
      <c r="B92" s="51" t="s">
        <v>167</v>
      </c>
      <c r="C92" s="68">
        <v>100</v>
      </c>
      <c r="D92" s="51" t="s">
        <v>326</v>
      </c>
      <c r="E92" s="103" t="s">
        <v>327</v>
      </c>
      <c r="F92" s="103"/>
      <c r="G92" s="51" t="s">
        <v>604</v>
      </c>
      <c r="H92" s="51" t="s">
        <v>17</v>
      </c>
      <c r="I92" s="51" t="s">
        <v>26</v>
      </c>
      <c r="J92" s="51" t="s">
        <v>213</v>
      </c>
      <c r="K92" s="69" t="b">
        <v>1</v>
      </c>
      <c r="L92" s="69" t="b">
        <v>1</v>
      </c>
      <c r="M92" s="69" t="b">
        <v>1</v>
      </c>
      <c r="N92" s="69" t="b">
        <v>0</v>
      </c>
      <c r="O92" s="68">
        <v>11.5</v>
      </c>
      <c r="P92" s="97" t="s">
        <v>687</v>
      </c>
      <c r="Q92" s="86" t="s">
        <v>637</v>
      </c>
      <c r="R92" s="86" t="s">
        <v>610</v>
      </c>
      <c r="S92" s="103" t="s">
        <v>328</v>
      </c>
      <c r="T92" s="103"/>
      <c r="U92" s="103"/>
      <c r="V92" s="103"/>
      <c r="W92" s="103"/>
      <c r="X92" s="103"/>
      <c r="Y92" s="103"/>
      <c r="Z92" s="103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43"/>
      <c r="AO92" s="43"/>
    </row>
    <row r="93" spans="1:41" ht="25.5" customHeight="1">
      <c r="A93" s="68">
        <v>4848</v>
      </c>
      <c r="B93" s="51" t="s">
        <v>168</v>
      </c>
      <c r="C93" s="68">
        <v>100</v>
      </c>
      <c r="D93" s="51" t="s">
        <v>326</v>
      </c>
      <c r="E93" s="103" t="s">
        <v>327</v>
      </c>
      <c r="F93" s="103"/>
      <c r="G93" s="51" t="s">
        <v>604</v>
      </c>
      <c r="H93" s="51" t="s">
        <v>11</v>
      </c>
      <c r="I93" s="51"/>
      <c r="J93" s="51" t="s">
        <v>213</v>
      </c>
      <c r="K93" s="69" t="b">
        <v>1</v>
      </c>
      <c r="L93" s="69" t="b">
        <v>1</v>
      </c>
      <c r="M93" s="69" t="b">
        <v>0</v>
      </c>
      <c r="N93" s="69" t="b">
        <v>0</v>
      </c>
      <c r="O93" s="68">
        <v>10</v>
      </c>
      <c r="P93" s="97" t="s">
        <v>684</v>
      </c>
      <c r="Q93" s="86" t="s">
        <v>628</v>
      </c>
      <c r="R93" s="86"/>
      <c r="S93" s="103" t="s">
        <v>329</v>
      </c>
      <c r="T93" s="103"/>
      <c r="U93" s="103"/>
      <c r="V93" s="103"/>
      <c r="W93" s="103"/>
      <c r="X93" s="103"/>
      <c r="Y93" s="103"/>
      <c r="Z93" s="103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43"/>
      <c r="AO93" s="43"/>
    </row>
    <row r="94" spans="1:41" ht="25.5" customHeight="1">
      <c r="A94" s="61">
        <v>4486</v>
      </c>
      <c r="B94" s="43" t="s">
        <v>173</v>
      </c>
      <c r="C94" s="61">
        <v>100</v>
      </c>
      <c r="D94" s="43" t="s">
        <v>25</v>
      </c>
      <c r="E94" s="43" t="s">
        <v>330</v>
      </c>
      <c r="F94" s="43" t="s">
        <v>25</v>
      </c>
      <c r="G94" s="43" t="s">
        <v>16</v>
      </c>
      <c r="H94" s="43" t="s">
        <v>26</v>
      </c>
      <c r="I94" s="43" t="s">
        <v>34</v>
      </c>
      <c r="J94" s="43" t="s">
        <v>213</v>
      </c>
      <c r="K94" s="47" t="b">
        <v>1</v>
      </c>
      <c r="L94" s="47" t="b">
        <v>1</v>
      </c>
      <c r="M94" s="47" t="b">
        <v>1</v>
      </c>
      <c r="N94" s="47" t="b">
        <v>0</v>
      </c>
      <c r="O94" s="61">
        <v>10</v>
      </c>
      <c r="P94" s="98" t="s">
        <v>661</v>
      </c>
      <c r="Q94" s="86" t="s">
        <v>621</v>
      </c>
      <c r="R94" s="86" t="s">
        <v>662</v>
      </c>
      <c r="S94" s="104" t="s">
        <v>174</v>
      </c>
      <c r="T94" s="104"/>
      <c r="U94" s="104"/>
      <c r="V94" s="104"/>
      <c r="W94" s="104"/>
      <c r="X94" s="104"/>
      <c r="Y94" s="104"/>
      <c r="Z94" s="104"/>
      <c r="AA94" s="104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</row>
    <row r="95" spans="1:41" ht="25.5" customHeight="1">
      <c r="A95" s="61">
        <v>5635</v>
      </c>
      <c r="B95" s="43" t="s">
        <v>149</v>
      </c>
      <c r="C95" s="61">
        <v>100</v>
      </c>
      <c r="D95" s="43" t="s">
        <v>601</v>
      </c>
      <c r="E95" s="104" t="s">
        <v>331</v>
      </c>
      <c r="F95" s="104"/>
      <c r="G95" s="43" t="s">
        <v>7</v>
      </c>
      <c r="H95" s="43" t="s">
        <v>31</v>
      </c>
      <c r="I95" s="43"/>
      <c r="J95" s="43" t="s">
        <v>223</v>
      </c>
      <c r="K95" s="47" t="b">
        <v>1</v>
      </c>
      <c r="L95" s="47" t="b">
        <v>1</v>
      </c>
      <c r="M95" s="47" t="b">
        <v>1</v>
      </c>
      <c r="N95" s="47" t="b">
        <v>1</v>
      </c>
      <c r="O95" s="61">
        <v>0.5</v>
      </c>
      <c r="P95" s="98" t="s">
        <v>683</v>
      </c>
      <c r="Q95" s="86" t="s">
        <v>682</v>
      </c>
      <c r="R95" s="86"/>
      <c r="S95" s="104" t="s">
        <v>150</v>
      </c>
      <c r="T95" s="104"/>
      <c r="U95" s="104"/>
      <c r="V95" s="104"/>
      <c r="W95" s="104"/>
      <c r="X95" s="104"/>
      <c r="Y95" s="104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</row>
    <row r="96" spans="1:41" ht="12.75" customHeight="1">
      <c r="A96" s="61">
        <v>4483</v>
      </c>
      <c r="B96" s="43" t="s">
        <v>171</v>
      </c>
      <c r="C96" s="61">
        <v>100</v>
      </c>
      <c r="D96" s="43" t="s">
        <v>601</v>
      </c>
      <c r="E96" s="104" t="s">
        <v>331</v>
      </c>
      <c r="F96" s="104"/>
      <c r="G96" s="43" t="s">
        <v>7</v>
      </c>
      <c r="H96" s="43"/>
      <c r="I96" s="43"/>
      <c r="J96" s="43" t="s">
        <v>223</v>
      </c>
      <c r="K96" s="47" t="b">
        <v>1</v>
      </c>
      <c r="L96" s="47" t="b">
        <v>1</v>
      </c>
      <c r="M96" s="47" t="b">
        <v>1</v>
      </c>
      <c r="N96" s="47" t="b">
        <v>1</v>
      </c>
      <c r="O96" s="61">
        <v>0.75</v>
      </c>
      <c r="P96" s="98" t="s">
        <v>681</v>
      </c>
      <c r="Q96" s="86" t="s">
        <v>680</v>
      </c>
      <c r="R96" s="86"/>
      <c r="S96" s="104" t="s">
        <v>172</v>
      </c>
      <c r="T96" s="104"/>
      <c r="U96" s="104"/>
      <c r="V96" s="104"/>
      <c r="W96" s="104"/>
      <c r="X96" s="104"/>
      <c r="Y96" s="104"/>
      <c r="Z96" s="104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</row>
    <row r="97" spans="1:41" ht="25.5" customHeight="1">
      <c r="A97" s="61">
        <v>4484</v>
      </c>
      <c r="B97" s="43" t="s">
        <v>181</v>
      </c>
      <c r="C97" s="61">
        <v>100</v>
      </c>
      <c r="D97" s="43" t="s">
        <v>601</v>
      </c>
      <c r="E97" s="104" t="s">
        <v>331</v>
      </c>
      <c r="F97" s="104"/>
      <c r="G97" s="43" t="s">
        <v>7</v>
      </c>
      <c r="H97" s="43" t="s">
        <v>31</v>
      </c>
      <c r="I97" s="43" t="s">
        <v>16</v>
      </c>
      <c r="J97" s="43" t="s">
        <v>223</v>
      </c>
      <c r="K97" s="47" t="b">
        <v>1</v>
      </c>
      <c r="L97" s="47" t="b">
        <v>1</v>
      </c>
      <c r="M97" s="47" t="b">
        <v>1</v>
      </c>
      <c r="N97" s="47" t="b">
        <v>1</v>
      </c>
      <c r="O97" s="61">
        <v>0.75</v>
      </c>
      <c r="P97" s="98" t="s">
        <v>678</v>
      </c>
      <c r="Q97" s="86" t="s">
        <v>679</v>
      </c>
      <c r="R97" s="86"/>
      <c r="S97" s="104" t="s">
        <v>182</v>
      </c>
      <c r="T97" s="104"/>
      <c r="U97" s="104"/>
      <c r="V97" s="104"/>
      <c r="W97" s="104"/>
      <c r="X97" s="104"/>
      <c r="Y97" s="104"/>
      <c r="Z97" s="104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</row>
    <row r="98" spans="1:41" ht="25.5" customHeight="1">
      <c r="A98" s="66">
        <v>4638</v>
      </c>
      <c r="B98" s="65" t="s">
        <v>101</v>
      </c>
      <c r="C98" s="66">
        <v>95</v>
      </c>
      <c r="D98" s="65" t="s">
        <v>602</v>
      </c>
      <c r="E98" s="65" t="s">
        <v>603</v>
      </c>
      <c r="F98" s="65"/>
      <c r="G98" s="65" t="s">
        <v>18</v>
      </c>
      <c r="H98" s="65" t="s">
        <v>18</v>
      </c>
      <c r="I98" s="65"/>
      <c r="J98" s="65" t="s">
        <v>213</v>
      </c>
      <c r="K98" s="67" t="b">
        <v>1</v>
      </c>
      <c r="L98" s="67" t="b">
        <v>1</v>
      </c>
      <c r="M98" s="67" t="b">
        <v>0</v>
      </c>
      <c r="N98" s="67" t="b">
        <v>0</v>
      </c>
      <c r="O98" s="66">
        <v>8</v>
      </c>
      <c r="P98" s="99" t="s">
        <v>676</v>
      </c>
      <c r="Q98" s="86" t="s">
        <v>677</v>
      </c>
      <c r="R98" s="86" t="s">
        <v>612</v>
      </c>
      <c r="S98" s="105" t="s">
        <v>102</v>
      </c>
      <c r="T98" s="105"/>
      <c r="U98" s="105"/>
      <c r="V98" s="105"/>
      <c r="W98" s="105"/>
      <c r="X98" s="105"/>
      <c r="Y98" s="105"/>
      <c r="Z98" s="10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43"/>
      <c r="AO98" s="43"/>
    </row>
    <row r="99" spans="1:41" ht="25.5" customHeight="1">
      <c r="A99" s="66">
        <v>5124</v>
      </c>
      <c r="B99" s="65" t="s">
        <v>104</v>
      </c>
      <c r="C99" s="66">
        <v>95</v>
      </c>
      <c r="D99" s="65" t="s">
        <v>602</v>
      </c>
      <c r="E99" s="65" t="s">
        <v>603</v>
      </c>
      <c r="F99" s="65"/>
      <c r="G99" s="65" t="s">
        <v>18</v>
      </c>
      <c r="H99" s="65" t="s">
        <v>18</v>
      </c>
      <c r="I99" s="65"/>
      <c r="J99" s="65" t="s">
        <v>213</v>
      </c>
      <c r="K99" s="67" t="b">
        <v>1</v>
      </c>
      <c r="L99" s="67" t="b">
        <v>1</v>
      </c>
      <c r="M99" s="67" t="b">
        <v>0</v>
      </c>
      <c r="N99" s="67" t="b">
        <v>0</v>
      </c>
      <c r="O99" s="66">
        <v>8.5</v>
      </c>
      <c r="P99" s="99" t="s">
        <v>675</v>
      </c>
      <c r="Q99" s="86" t="s">
        <v>673</v>
      </c>
      <c r="R99" s="86" t="s">
        <v>674</v>
      </c>
      <c r="S99" s="105" t="s">
        <v>259</v>
      </c>
      <c r="T99" s="105"/>
      <c r="U99" s="105"/>
      <c r="V99" s="105"/>
      <c r="W99" s="105"/>
      <c r="X99" s="105"/>
      <c r="Y99" s="105"/>
      <c r="Z99" s="10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43"/>
      <c r="AO99" s="43"/>
    </row>
    <row r="100" spans="1:41" ht="25.5" customHeight="1">
      <c r="A100" s="66">
        <v>4719</v>
      </c>
      <c r="B100" s="65" t="s">
        <v>186</v>
      </c>
      <c r="C100" s="66">
        <v>100</v>
      </c>
      <c r="D100" s="65" t="s">
        <v>602</v>
      </c>
      <c r="E100" s="65" t="s">
        <v>603</v>
      </c>
      <c r="F100" s="65"/>
      <c r="G100" s="65" t="s">
        <v>18</v>
      </c>
      <c r="H100" s="65" t="s">
        <v>18</v>
      </c>
      <c r="I100" s="65"/>
      <c r="J100" s="65" t="s">
        <v>213</v>
      </c>
      <c r="K100" s="67" t="b">
        <v>1</v>
      </c>
      <c r="L100" s="67" t="b">
        <v>1</v>
      </c>
      <c r="M100" s="67" t="b">
        <v>0</v>
      </c>
      <c r="N100" s="67" t="b">
        <v>0</v>
      </c>
      <c r="O100" s="66">
        <v>8</v>
      </c>
      <c r="P100" s="99" t="s">
        <v>670</v>
      </c>
      <c r="Q100" s="86" t="s">
        <v>671</v>
      </c>
      <c r="R100" s="86" t="s">
        <v>672</v>
      </c>
      <c r="S100" s="105" t="s">
        <v>187</v>
      </c>
      <c r="T100" s="105"/>
      <c r="U100" s="105"/>
      <c r="V100" s="105"/>
      <c r="W100" s="105"/>
      <c r="X100" s="105"/>
      <c r="Y100" s="105"/>
      <c r="Z100" s="10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43"/>
      <c r="AO100" s="43"/>
    </row>
    <row r="101" spans="1:41" ht="12.75" customHeight="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93"/>
      <c r="Q101" s="93"/>
      <c r="R101" s="93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43"/>
      <c r="AO101" s="43"/>
    </row>
    <row r="102" spans="1:41" ht="12.75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93"/>
      <c r="Q102" s="93"/>
      <c r="R102" s="93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2"/>
      <c r="AO102" s="2"/>
    </row>
    <row r="103" spans="1:41" ht="12.75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93"/>
      <c r="Q103" s="93"/>
      <c r="R103" s="93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2"/>
      <c r="AO103" s="2"/>
    </row>
    <row r="104" spans="1:41" ht="12.75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93"/>
      <c r="Q104" s="93"/>
      <c r="R104" s="93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2"/>
      <c r="AO104" s="2"/>
    </row>
    <row r="105" spans="1:41" ht="12.75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93"/>
      <c r="Q105" s="93"/>
      <c r="R105" s="93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2"/>
      <c r="AO105" s="2"/>
    </row>
    <row r="106" spans="1:41" ht="12.75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93"/>
      <c r="Q106" s="93"/>
      <c r="R106" s="93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2"/>
      <c r="AO106" s="2"/>
    </row>
    <row r="107" spans="1:41" ht="12.75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93"/>
      <c r="Q107" s="93"/>
      <c r="R107" s="93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2"/>
      <c r="AO107" s="2"/>
    </row>
    <row r="108" spans="1:41" ht="12.75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93"/>
      <c r="Q108" s="93"/>
      <c r="R108" s="93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2"/>
      <c r="AO108" s="2"/>
    </row>
    <row r="109" spans="1:41" ht="12.75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93"/>
      <c r="Q109" s="93"/>
      <c r="R109" s="93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2"/>
      <c r="AO109" s="2"/>
    </row>
    <row r="110" spans="1:41" ht="12.75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93"/>
      <c r="Q110" s="93"/>
      <c r="R110" s="93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2"/>
      <c r="AO110" s="2"/>
    </row>
    <row r="111" spans="1:41" ht="12.75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93"/>
      <c r="Q111" s="93"/>
      <c r="R111" s="93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2"/>
      <c r="AO111" s="2"/>
    </row>
    <row r="112" spans="1:41" ht="12.75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93"/>
      <c r="Q112" s="93"/>
      <c r="R112" s="93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2"/>
      <c r="AO112" s="2"/>
    </row>
    <row r="113" spans="1:41" ht="12.75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93"/>
      <c r="Q113" s="93"/>
      <c r="R113" s="93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2"/>
      <c r="AO113" s="2"/>
    </row>
    <row r="114" spans="1:41" ht="12.75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93"/>
      <c r="Q114" s="93"/>
      <c r="R114" s="93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2"/>
      <c r="AO114" s="2"/>
    </row>
    <row r="115" spans="1:41" ht="12.75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93"/>
      <c r="Q115" s="93"/>
      <c r="R115" s="93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  <c r="AL115" s="80"/>
      <c r="AM115" s="80"/>
      <c r="AN115" s="2"/>
      <c r="AO115" s="2"/>
    </row>
    <row r="116" spans="1:41" ht="12.75">
      <c r="A116" s="80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2"/>
      <c r="AO116" s="2"/>
    </row>
    <row r="117" spans="1:41" ht="12.75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93"/>
      <c r="Q117" s="93"/>
      <c r="R117" s="93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2"/>
      <c r="AO117" s="2"/>
    </row>
    <row r="118" spans="1:41" ht="12.75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93"/>
      <c r="Q118" s="93"/>
      <c r="R118" s="93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2"/>
      <c r="AO118" s="2"/>
    </row>
    <row r="119" spans="1:41" ht="12.75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93"/>
      <c r="Q119" s="93"/>
      <c r="R119" s="93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  <c r="AN119" s="2"/>
      <c r="AO119" s="2"/>
    </row>
    <row r="120" spans="1:41" ht="12.75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93"/>
      <c r="Q120" s="93"/>
      <c r="R120" s="93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2"/>
      <c r="AO120" s="2"/>
    </row>
    <row r="121" spans="1:41" ht="12.75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93"/>
      <c r="Q121" s="93"/>
      <c r="R121" s="93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2"/>
      <c r="AO121" s="2"/>
    </row>
    <row r="122" spans="1:41" ht="12.75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93"/>
      <c r="Q122" s="93"/>
      <c r="R122" s="93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2"/>
      <c r="AO122" s="2"/>
    </row>
    <row r="123" spans="1:41" ht="12.75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93"/>
      <c r="Q123" s="93"/>
      <c r="R123" s="93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2"/>
      <c r="AO123" s="2"/>
    </row>
    <row r="124" spans="1:41" ht="12.75">
      <c r="A124" s="80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2"/>
      <c r="AO124" s="2"/>
    </row>
    <row r="125" spans="1:41" ht="12.75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93"/>
      <c r="Q125" s="93"/>
      <c r="R125" s="93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2"/>
      <c r="AO125" s="2"/>
    </row>
    <row r="126" spans="1:41" ht="12.75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93"/>
      <c r="Q126" s="93"/>
      <c r="R126" s="93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2"/>
      <c r="AO126" s="2"/>
    </row>
    <row r="127" spans="1:41" ht="12.75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93"/>
      <c r="Q127" s="93"/>
      <c r="R127" s="93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2"/>
      <c r="AO127" s="2"/>
    </row>
    <row r="128" spans="1:41" ht="12.75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93"/>
      <c r="Q128" s="93"/>
      <c r="R128" s="93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2"/>
      <c r="AO128" s="2"/>
    </row>
    <row r="129" spans="1:41" ht="12.75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93"/>
      <c r="Q129" s="93"/>
      <c r="R129" s="93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2"/>
      <c r="AO129" s="2"/>
    </row>
    <row r="130" spans="1:41" ht="12.75">
      <c r="A130" s="80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2"/>
      <c r="AO130" s="2"/>
    </row>
    <row r="131" spans="1:41" ht="12.75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93"/>
      <c r="Q131" s="93"/>
      <c r="R131" s="93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2"/>
      <c r="AO131" s="2"/>
    </row>
    <row r="132" spans="1:41" ht="12.75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93"/>
      <c r="Q132" s="93"/>
      <c r="R132" s="93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2"/>
      <c r="AO132" s="2"/>
    </row>
    <row r="133" spans="1:41" ht="12.75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93"/>
      <c r="Q133" s="93"/>
      <c r="R133" s="93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2"/>
      <c r="AO133" s="2"/>
    </row>
    <row r="134" spans="1:41" ht="12.75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93"/>
      <c r="Q134" s="93"/>
      <c r="R134" s="93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2"/>
      <c r="AO134" s="2"/>
    </row>
    <row r="135" spans="1:41" ht="12.75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93"/>
      <c r="Q135" s="93"/>
      <c r="R135" s="93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2"/>
      <c r="AO135" s="2"/>
    </row>
    <row r="136" spans="1:41" ht="12.75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93"/>
      <c r="Q136" s="93"/>
      <c r="R136" s="93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2"/>
      <c r="AO136" s="2"/>
    </row>
    <row r="137" spans="1:41" ht="12.75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93"/>
      <c r="Q137" s="93"/>
      <c r="R137" s="93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2"/>
      <c r="AO137" s="2"/>
    </row>
    <row r="138" spans="1:41" ht="12.75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93"/>
      <c r="Q138" s="93"/>
      <c r="R138" s="93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2"/>
      <c r="AO138" s="2"/>
    </row>
    <row r="139" spans="1:41" ht="12.75">
      <c r="A139" s="80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93"/>
      <c r="Q139" s="93"/>
      <c r="R139" s="93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2"/>
      <c r="AO139" s="2"/>
    </row>
    <row r="140" spans="1:41" ht="12.75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93"/>
      <c r="Q140" s="93"/>
      <c r="R140" s="93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2"/>
      <c r="AO140" s="2"/>
    </row>
    <row r="141" spans="1:41" ht="12.75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93"/>
      <c r="Q141" s="93"/>
      <c r="R141" s="93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2"/>
      <c r="AO141" s="2"/>
    </row>
    <row r="142" spans="1:41" ht="12.75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93"/>
      <c r="Q142" s="93"/>
      <c r="R142" s="93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2"/>
      <c r="AO142" s="2"/>
    </row>
    <row r="143" spans="1:41" ht="12.75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93"/>
      <c r="Q143" s="93"/>
      <c r="R143" s="93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2"/>
      <c r="AO143" s="2"/>
    </row>
    <row r="144" spans="1:41" ht="12.75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93"/>
      <c r="Q144" s="93"/>
      <c r="R144" s="93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2"/>
      <c r="AO144" s="2"/>
    </row>
    <row r="145" spans="1:41" ht="12.75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93"/>
      <c r="Q145" s="93"/>
      <c r="R145" s="93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2"/>
      <c r="AO145" s="2"/>
    </row>
    <row r="146" spans="1:41" ht="12.75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93"/>
      <c r="Q146" s="93"/>
      <c r="R146" s="93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2"/>
      <c r="AO146" s="2"/>
    </row>
    <row r="147" spans="1:41" ht="12.75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93"/>
      <c r="Q147" s="93"/>
      <c r="R147" s="93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2"/>
      <c r="AO147" s="2"/>
    </row>
    <row r="148" spans="1:41" ht="12.75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93"/>
      <c r="Q148" s="93"/>
      <c r="R148" s="93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2"/>
      <c r="AO148" s="2"/>
    </row>
    <row r="149" spans="1:41" ht="12.75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93"/>
      <c r="Q149" s="93"/>
      <c r="R149" s="93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2"/>
      <c r="AO149" s="2"/>
    </row>
    <row r="150" spans="1:41" ht="12.75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93"/>
      <c r="Q150" s="93"/>
      <c r="R150" s="93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2"/>
      <c r="AO150" s="2"/>
    </row>
    <row r="151" spans="1:41" ht="12.75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93"/>
      <c r="Q151" s="93"/>
      <c r="R151" s="93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  <c r="AL151" s="80"/>
      <c r="AM151" s="80"/>
      <c r="AN151" s="2"/>
      <c r="AO151" s="2"/>
    </row>
    <row r="152" spans="1:41" ht="12.75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93"/>
      <c r="Q152" s="93"/>
      <c r="R152" s="93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2"/>
      <c r="AO152" s="2"/>
    </row>
    <row r="153" spans="1:41" ht="12.75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93"/>
      <c r="Q153" s="93"/>
      <c r="R153" s="93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2"/>
      <c r="AO153" s="2"/>
    </row>
    <row r="154" spans="1:41" ht="12.75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93"/>
      <c r="Q154" s="93"/>
      <c r="R154" s="93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2"/>
      <c r="AO154" s="2"/>
    </row>
    <row r="155" spans="1:41" ht="12.75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93"/>
      <c r="Q155" s="93"/>
      <c r="R155" s="93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  <c r="AL155" s="80"/>
      <c r="AM155" s="80"/>
      <c r="AN155" s="2"/>
      <c r="AO155" s="2"/>
    </row>
    <row r="156" spans="1:41" ht="12.75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93"/>
      <c r="Q156" s="93"/>
      <c r="R156" s="93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  <c r="AL156" s="80"/>
      <c r="AM156" s="80"/>
      <c r="AN156" s="2"/>
      <c r="AO156" s="2"/>
    </row>
    <row r="157" spans="1:41" ht="12.75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93"/>
      <c r="Q157" s="93"/>
      <c r="R157" s="93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2"/>
      <c r="AO157" s="2"/>
    </row>
    <row r="158" spans="1:41" ht="12.75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93"/>
      <c r="Q158" s="93"/>
      <c r="R158" s="93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2"/>
      <c r="AO158" s="2"/>
    </row>
    <row r="159" spans="1:41" ht="12.75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93"/>
      <c r="Q159" s="93"/>
      <c r="R159" s="93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  <c r="AL159" s="80"/>
      <c r="AM159" s="80"/>
      <c r="AN159" s="2"/>
      <c r="AO159" s="2"/>
    </row>
    <row r="160" spans="1:41" ht="12.75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93"/>
      <c r="Q160" s="93"/>
      <c r="R160" s="93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80"/>
      <c r="AN160" s="2"/>
      <c r="AO160" s="2"/>
    </row>
    <row r="161" spans="1:41" ht="12.75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93"/>
      <c r="Q161" s="93"/>
      <c r="R161" s="93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2"/>
      <c r="AO161" s="2"/>
    </row>
    <row r="162" spans="1:41" ht="12.75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93"/>
      <c r="Q162" s="93"/>
      <c r="R162" s="93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2"/>
      <c r="AO162" s="2"/>
    </row>
    <row r="163" spans="1:41" ht="12.75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93"/>
      <c r="Q163" s="93"/>
      <c r="R163" s="93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2"/>
      <c r="AO163" s="2"/>
    </row>
    <row r="164" spans="1:41" ht="12.75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93"/>
      <c r="Q164" s="93"/>
      <c r="R164" s="93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2"/>
      <c r="AO164" s="2"/>
    </row>
    <row r="165" spans="1:41" ht="12.75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93"/>
      <c r="Q165" s="93"/>
      <c r="R165" s="93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2"/>
      <c r="AO165" s="2"/>
    </row>
    <row r="166" spans="1:41" ht="12.75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93"/>
      <c r="Q166" s="93"/>
      <c r="R166" s="93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2"/>
      <c r="AO166" s="2"/>
    </row>
    <row r="167" spans="1:41" ht="12.75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93"/>
      <c r="Q167" s="93"/>
      <c r="R167" s="93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2"/>
      <c r="AO167" s="2"/>
    </row>
    <row r="168" spans="1:41" ht="12.75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93"/>
      <c r="Q168" s="93"/>
      <c r="R168" s="93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2"/>
      <c r="AO168" s="2"/>
    </row>
    <row r="169" spans="1:41" ht="12.75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93"/>
      <c r="Q169" s="93"/>
      <c r="R169" s="93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2"/>
      <c r="AO169" s="2"/>
    </row>
    <row r="170" spans="1:41" ht="12.75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93"/>
      <c r="Q170" s="93"/>
      <c r="R170" s="93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2"/>
      <c r="AO170" s="2"/>
    </row>
    <row r="171" spans="1:41" ht="12.75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93"/>
      <c r="Q171" s="93"/>
      <c r="R171" s="93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2"/>
      <c r="AO171" s="2"/>
    </row>
    <row r="172" spans="1:41" ht="12.75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93"/>
      <c r="Q172" s="93"/>
      <c r="R172" s="93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2"/>
      <c r="AO172" s="2"/>
    </row>
    <row r="173" spans="1:41" ht="12.75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93"/>
      <c r="Q173" s="93"/>
      <c r="R173" s="93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2"/>
      <c r="AO173" s="2"/>
    </row>
    <row r="174" spans="1:41" ht="12.75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93"/>
      <c r="Q174" s="93"/>
      <c r="R174" s="93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2"/>
      <c r="AO174" s="2"/>
    </row>
    <row r="175" spans="1:41" ht="12.75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93"/>
      <c r="Q175" s="93"/>
      <c r="R175" s="93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2"/>
      <c r="AO175" s="2"/>
    </row>
    <row r="176" spans="1:41" ht="12.75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93"/>
      <c r="Q176" s="93"/>
      <c r="R176" s="93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2"/>
      <c r="AO176" s="2"/>
    </row>
    <row r="177" spans="1:41" ht="12.75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93"/>
      <c r="Q177" s="93"/>
      <c r="R177" s="93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2"/>
      <c r="AO177" s="2"/>
    </row>
    <row r="178" spans="1:41" ht="12.75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93"/>
      <c r="Q178" s="93"/>
      <c r="R178" s="93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2"/>
      <c r="AO178" s="2"/>
    </row>
    <row r="179" spans="1:41" ht="12.75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93"/>
      <c r="Q179" s="93"/>
      <c r="R179" s="93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2"/>
      <c r="AO179" s="2"/>
    </row>
    <row r="180" spans="1:41" ht="12.75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93"/>
      <c r="Q180" s="93"/>
      <c r="R180" s="93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2"/>
      <c r="AO180" s="2"/>
    </row>
    <row r="181" spans="1:41" ht="12.75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93"/>
      <c r="Q181" s="93"/>
      <c r="R181" s="93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2"/>
      <c r="AO181" s="2"/>
    </row>
    <row r="182" spans="1:41" ht="12.75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93"/>
      <c r="Q182" s="93"/>
      <c r="R182" s="93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2"/>
      <c r="AO182" s="2"/>
    </row>
    <row r="183" spans="1:41" ht="12.75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93"/>
      <c r="Q183" s="93"/>
      <c r="R183" s="93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2"/>
      <c r="AO183" s="2"/>
    </row>
    <row r="184" spans="1:41" ht="12.75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93"/>
      <c r="Q184" s="93"/>
      <c r="R184" s="93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2"/>
      <c r="AO184" s="2"/>
    </row>
    <row r="185" spans="1:41" ht="12.75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93"/>
      <c r="Q185" s="93"/>
      <c r="R185" s="93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2"/>
      <c r="AO185" s="2"/>
    </row>
    <row r="186" spans="1:41" ht="12.75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93"/>
      <c r="Q186" s="93"/>
      <c r="R186" s="93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2"/>
      <c r="AO186" s="2"/>
    </row>
    <row r="187" spans="1:41" ht="12.75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93"/>
      <c r="Q187" s="93"/>
      <c r="R187" s="93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2"/>
      <c r="AO187" s="2"/>
    </row>
    <row r="188" spans="1:41" ht="12.75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93"/>
      <c r="Q188" s="93"/>
      <c r="R188" s="93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2"/>
      <c r="AO188" s="2"/>
    </row>
    <row r="189" spans="1:41" ht="12.75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93"/>
      <c r="Q189" s="93"/>
      <c r="R189" s="93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2"/>
      <c r="AO189" s="2"/>
    </row>
    <row r="190" spans="1:41" ht="12.75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93"/>
      <c r="Q190" s="93"/>
      <c r="R190" s="93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2"/>
      <c r="AO190" s="2"/>
    </row>
    <row r="191" spans="1:41" ht="12.75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93"/>
      <c r="Q191" s="93"/>
      <c r="R191" s="93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2"/>
      <c r="AO191" s="2"/>
    </row>
    <row r="192" spans="1:41" ht="12.75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93"/>
      <c r="Q192" s="93"/>
      <c r="R192" s="93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2"/>
      <c r="AO192" s="2"/>
    </row>
    <row r="193" spans="1:41" ht="12.75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93"/>
      <c r="Q193" s="93"/>
      <c r="R193" s="93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2"/>
      <c r="AO193" s="2"/>
    </row>
    <row r="194" spans="1:41" ht="12.75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93"/>
      <c r="Q194" s="93"/>
      <c r="R194" s="93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2"/>
      <c r="AO194" s="2"/>
    </row>
    <row r="195" spans="1:41" ht="12.75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93"/>
      <c r="Q195" s="93"/>
      <c r="R195" s="93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80"/>
      <c r="AN195" s="2"/>
      <c r="AO195" s="2"/>
    </row>
    <row r="196" spans="1:41" ht="12.75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93"/>
      <c r="Q196" s="93"/>
      <c r="R196" s="93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2"/>
      <c r="AO196" s="2"/>
    </row>
    <row r="197" spans="1:41" ht="12.75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93"/>
      <c r="Q197" s="93"/>
      <c r="R197" s="93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2"/>
      <c r="AO197" s="2"/>
    </row>
    <row r="198" spans="1:41" ht="12.75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93"/>
      <c r="Q198" s="93"/>
      <c r="R198" s="93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2"/>
      <c r="AO198" s="2"/>
    </row>
    <row r="199" spans="1:41" ht="12.75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93"/>
      <c r="Q199" s="93"/>
      <c r="R199" s="93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2"/>
      <c r="AO199" s="2"/>
    </row>
    <row r="200" spans="1:41" ht="12.75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93"/>
      <c r="Q200" s="93"/>
      <c r="R200" s="93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2"/>
      <c r="AO200" s="2"/>
    </row>
    <row r="201" spans="1:41" ht="12.75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93"/>
      <c r="Q201" s="93"/>
      <c r="R201" s="93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  <c r="AN201" s="2"/>
      <c r="AO201" s="2"/>
    </row>
    <row r="202" spans="1:41" ht="12.75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93"/>
      <c r="Q202" s="93"/>
      <c r="R202" s="93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2"/>
      <c r="AO202" s="2"/>
    </row>
    <row r="203" spans="1:41" ht="12.75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93"/>
      <c r="Q203" s="93"/>
      <c r="R203" s="93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2"/>
      <c r="AO203" s="2"/>
    </row>
    <row r="204" spans="1:41" ht="12.75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93"/>
      <c r="Q204" s="93"/>
      <c r="R204" s="93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2"/>
      <c r="AO204" s="2"/>
    </row>
    <row r="205" spans="1:41" ht="12.75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93"/>
      <c r="Q205" s="93"/>
      <c r="R205" s="93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2"/>
      <c r="AO205" s="2"/>
    </row>
    <row r="206" spans="1:41" ht="12.75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93"/>
      <c r="Q206" s="93"/>
      <c r="R206" s="93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2"/>
      <c r="AO206" s="2"/>
    </row>
    <row r="207" spans="1:41" ht="12.75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93"/>
      <c r="Q207" s="93"/>
      <c r="R207" s="93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2"/>
      <c r="AO207" s="2"/>
    </row>
    <row r="208" spans="1:41" ht="12.75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93"/>
      <c r="Q208" s="93"/>
      <c r="R208" s="93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2"/>
      <c r="AO208" s="2"/>
    </row>
    <row r="209" spans="1:41" ht="12.75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93"/>
      <c r="Q209" s="93"/>
      <c r="R209" s="93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2"/>
      <c r="AO209" s="2"/>
    </row>
    <row r="210" spans="1:41" ht="12.75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93"/>
      <c r="Q210" s="93"/>
      <c r="R210" s="93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2"/>
      <c r="AO210" s="2"/>
    </row>
    <row r="211" spans="1:41" ht="12.75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93"/>
      <c r="Q211" s="93"/>
      <c r="R211" s="93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2"/>
      <c r="AO211" s="2"/>
    </row>
    <row r="212" spans="1:41" ht="12.75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93"/>
      <c r="Q212" s="93"/>
      <c r="R212" s="93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2"/>
      <c r="AO212" s="2"/>
    </row>
    <row r="213" spans="1:41" ht="12.75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93"/>
      <c r="Q213" s="93"/>
      <c r="R213" s="93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2"/>
      <c r="AO213" s="2"/>
    </row>
    <row r="214" spans="1:41" ht="12.75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93"/>
      <c r="Q214" s="93"/>
      <c r="R214" s="93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2"/>
      <c r="AO214" s="2"/>
    </row>
    <row r="215" spans="1:41" ht="12.75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93"/>
      <c r="Q215" s="93"/>
      <c r="R215" s="93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2"/>
      <c r="AO215" s="2"/>
    </row>
    <row r="216" spans="1:41" ht="12.75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93"/>
      <c r="Q216" s="93"/>
      <c r="R216" s="93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80"/>
      <c r="AN216" s="2"/>
      <c r="AO216" s="2"/>
    </row>
    <row r="217" spans="1:41" ht="12.75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93"/>
      <c r="Q217" s="93"/>
      <c r="R217" s="93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2"/>
      <c r="AO217" s="2"/>
    </row>
    <row r="218" spans="1:41" ht="12.75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93"/>
      <c r="Q218" s="93"/>
      <c r="R218" s="93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2"/>
      <c r="AO218" s="2"/>
    </row>
    <row r="219" spans="1:41" ht="12.75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93"/>
      <c r="Q219" s="93"/>
      <c r="R219" s="93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  <c r="AL219" s="80"/>
      <c r="AM219" s="80"/>
      <c r="AN219" s="2"/>
      <c r="AO219" s="2"/>
    </row>
    <row r="220" spans="1:41" ht="12.75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93"/>
      <c r="Q220" s="93"/>
      <c r="R220" s="93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  <c r="AL220" s="80"/>
      <c r="AM220" s="80"/>
      <c r="AN220" s="2"/>
      <c r="AO220" s="2"/>
    </row>
    <row r="221" spans="1:41" ht="12.75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93"/>
      <c r="Q221" s="93"/>
      <c r="R221" s="93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0"/>
      <c r="AL221" s="80"/>
      <c r="AM221" s="80"/>
      <c r="AN221" s="2"/>
      <c r="AO221" s="2"/>
    </row>
    <row r="222" spans="1:41" ht="12.75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93"/>
      <c r="Q222" s="93"/>
      <c r="R222" s="93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80"/>
      <c r="AI222" s="80"/>
      <c r="AJ222" s="80"/>
      <c r="AK222" s="80"/>
      <c r="AL222" s="80"/>
      <c r="AM222" s="80"/>
      <c r="AN222" s="2"/>
      <c r="AO222" s="2"/>
    </row>
    <row r="223" spans="1:41" ht="12.75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93"/>
      <c r="Q223" s="93"/>
      <c r="R223" s="93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  <c r="AH223" s="80"/>
      <c r="AI223" s="80"/>
      <c r="AJ223" s="80"/>
      <c r="AK223" s="80"/>
      <c r="AL223" s="80"/>
      <c r="AM223" s="80"/>
      <c r="AN223" s="2"/>
      <c r="AO223" s="2"/>
    </row>
    <row r="224" spans="1:41" ht="12.75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93"/>
      <c r="Q224" s="93"/>
      <c r="R224" s="93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80"/>
      <c r="AI224" s="80"/>
      <c r="AJ224" s="80"/>
      <c r="AK224" s="80"/>
      <c r="AL224" s="80"/>
      <c r="AM224" s="80"/>
      <c r="AN224" s="2"/>
      <c r="AO224" s="2"/>
    </row>
    <row r="225" spans="1:41" ht="12.75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93"/>
      <c r="Q225" s="93"/>
      <c r="R225" s="93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  <c r="AH225" s="80"/>
      <c r="AI225" s="80"/>
      <c r="AJ225" s="80"/>
      <c r="AK225" s="80"/>
      <c r="AL225" s="80"/>
      <c r="AM225" s="80"/>
      <c r="AN225" s="2"/>
      <c r="AO225" s="2"/>
    </row>
    <row r="226" spans="1:41" ht="12.75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93"/>
      <c r="Q226" s="93"/>
      <c r="R226" s="93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  <c r="AH226" s="80"/>
      <c r="AI226" s="80"/>
      <c r="AJ226" s="80"/>
      <c r="AK226" s="80"/>
      <c r="AL226" s="80"/>
      <c r="AM226" s="80"/>
      <c r="AN226" s="2"/>
      <c r="AO226" s="2"/>
    </row>
    <row r="227" spans="1:41" ht="12.75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93"/>
      <c r="Q227" s="93"/>
      <c r="R227" s="93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80"/>
      <c r="AH227" s="80"/>
      <c r="AI227" s="80"/>
      <c r="AJ227" s="80"/>
      <c r="AK227" s="80"/>
      <c r="AL227" s="80"/>
      <c r="AM227" s="80"/>
      <c r="AN227" s="2"/>
      <c r="AO227" s="2"/>
    </row>
    <row r="228" spans="1:41" ht="12.75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93"/>
      <c r="Q228" s="93"/>
      <c r="R228" s="93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80"/>
      <c r="AH228" s="80"/>
      <c r="AI228" s="80"/>
      <c r="AJ228" s="80"/>
      <c r="AK228" s="80"/>
      <c r="AL228" s="80"/>
      <c r="AM228" s="80"/>
      <c r="AN228" s="2"/>
      <c r="AO228" s="2"/>
    </row>
    <row r="229" spans="1:41" ht="12.75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93"/>
      <c r="Q229" s="93"/>
      <c r="R229" s="93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80"/>
      <c r="AH229" s="80"/>
      <c r="AI229" s="80"/>
      <c r="AJ229" s="80"/>
      <c r="AK229" s="80"/>
      <c r="AL229" s="80"/>
      <c r="AM229" s="80"/>
      <c r="AN229" s="2"/>
      <c r="AO229" s="2"/>
    </row>
    <row r="230" spans="1:41" ht="12.75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93"/>
      <c r="Q230" s="93"/>
      <c r="R230" s="93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80"/>
      <c r="AH230" s="80"/>
      <c r="AI230" s="80"/>
      <c r="AJ230" s="80"/>
      <c r="AK230" s="80"/>
      <c r="AL230" s="80"/>
      <c r="AM230" s="80"/>
      <c r="AN230" s="2"/>
      <c r="AO230" s="2"/>
    </row>
    <row r="231" spans="1:41" ht="12.75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93"/>
      <c r="Q231" s="93"/>
      <c r="R231" s="93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80"/>
      <c r="AH231" s="80"/>
      <c r="AI231" s="80"/>
      <c r="AJ231" s="80"/>
      <c r="AK231" s="80"/>
      <c r="AL231" s="80"/>
      <c r="AM231" s="80"/>
      <c r="AN231" s="2"/>
      <c r="AO231" s="2"/>
    </row>
    <row r="232" spans="1:41" ht="12.75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93"/>
      <c r="Q232" s="93"/>
      <c r="R232" s="93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80"/>
      <c r="AH232" s="80"/>
      <c r="AI232" s="80"/>
      <c r="AJ232" s="80"/>
      <c r="AK232" s="80"/>
      <c r="AL232" s="80"/>
      <c r="AM232" s="80"/>
      <c r="AN232" s="2"/>
      <c r="AO232" s="2"/>
    </row>
    <row r="233" spans="1:41" ht="12.75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93"/>
      <c r="Q233" s="93"/>
      <c r="R233" s="93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  <c r="AG233" s="80"/>
      <c r="AH233" s="80"/>
      <c r="AI233" s="80"/>
      <c r="AJ233" s="80"/>
      <c r="AK233" s="80"/>
      <c r="AL233" s="80"/>
      <c r="AM233" s="80"/>
      <c r="AN233" s="2"/>
      <c r="AO233" s="2"/>
    </row>
    <row r="234" spans="1:41" ht="12.75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93"/>
      <c r="Q234" s="93"/>
      <c r="R234" s="93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80"/>
      <c r="AH234" s="80"/>
      <c r="AI234" s="80"/>
      <c r="AJ234" s="80"/>
      <c r="AK234" s="80"/>
      <c r="AL234" s="80"/>
      <c r="AM234" s="80"/>
      <c r="AN234" s="2"/>
      <c r="AO234" s="2"/>
    </row>
    <row r="235" spans="1:41" ht="12.75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93"/>
      <c r="Q235" s="93"/>
      <c r="R235" s="93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  <c r="AG235" s="80"/>
      <c r="AH235" s="80"/>
      <c r="AI235" s="80"/>
      <c r="AJ235" s="80"/>
      <c r="AK235" s="80"/>
      <c r="AL235" s="80"/>
      <c r="AM235" s="80"/>
      <c r="AN235" s="2"/>
      <c r="AO235" s="2"/>
    </row>
    <row r="236" spans="1:41" ht="12.75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93"/>
      <c r="Q236" s="93"/>
      <c r="R236" s="93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  <c r="AH236" s="80"/>
      <c r="AI236" s="80"/>
      <c r="AJ236" s="80"/>
      <c r="AK236" s="80"/>
      <c r="AL236" s="80"/>
      <c r="AM236" s="80"/>
      <c r="AN236" s="2"/>
      <c r="AO236" s="2"/>
    </row>
    <row r="237" spans="1:41" ht="12.75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93"/>
      <c r="Q237" s="93"/>
      <c r="R237" s="93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0"/>
      <c r="AG237" s="80"/>
      <c r="AH237" s="80"/>
      <c r="AI237" s="80"/>
      <c r="AJ237" s="80"/>
      <c r="AK237" s="80"/>
      <c r="AL237" s="80"/>
      <c r="AM237" s="80"/>
      <c r="AN237" s="2"/>
      <c r="AO237" s="2"/>
    </row>
    <row r="238" spans="1:41" ht="12.75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93"/>
      <c r="Q238" s="93"/>
      <c r="R238" s="93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  <c r="AG238" s="80"/>
      <c r="AH238" s="80"/>
      <c r="AI238" s="80"/>
      <c r="AJ238" s="80"/>
      <c r="AK238" s="80"/>
      <c r="AL238" s="80"/>
      <c r="AM238" s="80"/>
      <c r="AN238" s="2"/>
      <c r="AO238" s="2"/>
    </row>
    <row r="239" spans="1:41" ht="12.75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93"/>
      <c r="Q239" s="93"/>
      <c r="R239" s="93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80"/>
      <c r="AG239" s="80"/>
      <c r="AH239" s="80"/>
      <c r="AI239" s="80"/>
      <c r="AJ239" s="80"/>
      <c r="AK239" s="80"/>
      <c r="AL239" s="80"/>
      <c r="AM239" s="80"/>
      <c r="AN239" s="2"/>
      <c r="AO239" s="2"/>
    </row>
    <row r="240" spans="1:41" ht="12.75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93"/>
      <c r="Q240" s="93"/>
      <c r="R240" s="93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80"/>
      <c r="AH240" s="80"/>
      <c r="AI240" s="80"/>
      <c r="AJ240" s="80"/>
      <c r="AK240" s="80"/>
      <c r="AL240" s="80"/>
      <c r="AM240" s="80"/>
      <c r="AN240" s="2"/>
      <c r="AO240" s="2"/>
    </row>
    <row r="241" spans="1:41" ht="12.75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93"/>
      <c r="Q241" s="93"/>
      <c r="R241" s="93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80"/>
      <c r="AG241" s="80"/>
      <c r="AH241" s="80"/>
      <c r="AI241" s="80"/>
      <c r="AJ241" s="80"/>
      <c r="AK241" s="80"/>
      <c r="AL241" s="80"/>
      <c r="AM241" s="80"/>
      <c r="AN241" s="2"/>
      <c r="AO241" s="2"/>
    </row>
    <row r="242" spans="1:41" ht="12.75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93"/>
      <c r="Q242" s="93"/>
      <c r="R242" s="93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80"/>
      <c r="AF242" s="80"/>
      <c r="AG242" s="80"/>
      <c r="AH242" s="80"/>
      <c r="AI242" s="80"/>
      <c r="AJ242" s="80"/>
      <c r="AK242" s="80"/>
      <c r="AL242" s="80"/>
      <c r="AM242" s="80"/>
      <c r="AN242" s="2"/>
      <c r="AO242" s="2"/>
    </row>
    <row r="243" spans="1:41" ht="12.75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93"/>
      <c r="Q243" s="93"/>
      <c r="R243" s="93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2"/>
      <c r="AO243" s="2"/>
    </row>
    <row r="244" spans="1:41" ht="12.75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93"/>
      <c r="Q244" s="93"/>
      <c r="R244" s="93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80"/>
      <c r="AG244" s="80"/>
      <c r="AH244" s="80"/>
      <c r="AI244" s="80"/>
      <c r="AJ244" s="80"/>
      <c r="AK244" s="80"/>
      <c r="AL244" s="80"/>
      <c r="AM244" s="80"/>
      <c r="AN244" s="2"/>
      <c r="AO244" s="2"/>
    </row>
    <row r="245" spans="1:41" ht="12.75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93"/>
      <c r="Q245" s="93"/>
      <c r="R245" s="93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  <c r="AF245" s="80"/>
      <c r="AG245" s="80"/>
      <c r="AH245" s="80"/>
      <c r="AI245" s="80"/>
      <c r="AJ245" s="80"/>
      <c r="AK245" s="80"/>
      <c r="AL245" s="80"/>
      <c r="AM245" s="80"/>
      <c r="AN245" s="2"/>
      <c r="AO245" s="2"/>
    </row>
    <row r="246" spans="1:41" ht="12.75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93"/>
      <c r="Q246" s="93"/>
      <c r="R246" s="93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80"/>
      <c r="AH246" s="80"/>
      <c r="AI246" s="80"/>
      <c r="AJ246" s="80"/>
      <c r="AK246" s="80"/>
      <c r="AL246" s="80"/>
      <c r="AM246" s="80"/>
      <c r="AN246" s="2"/>
      <c r="AO246" s="2"/>
    </row>
    <row r="247" spans="1:41" ht="12.75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93"/>
      <c r="Q247" s="93"/>
      <c r="R247" s="93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80"/>
      <c r="AG247" s="80"/>
      <c r="AH247" s="80"/>
      <c r="AI247" s="80"/>
      <c r="AJ247" s="80"/>
      <c r="AK247" s="80"/>
      <c r="AL247" s="80"/>
      <c r="AM247" s="80"/>
      <c r="AN247" s="2"/>
      <c r="AO247" s="2"/>
    </row>
    <row r="248" spans="1:41" ht="12.75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93"/>
      <c r="Q248" s="93"/>
      <c r="R248" s="93"/>
      <c r="S248" s="80"/>
      <c r="T248" s="80"/>
      <c r="U248" s="80"/>
      <c r="V248" s="80"/>
      <c r="W248" s="80"/>
      <c r="X248" s="80"/>
      <c r="Y248" s="80"/>
      <c r="Z248" s="80"/>
      <c r="AA248" s="80"/>
      <c r="AB248" s="80"/>
      <c r="AC248" s="80"/>
      <c r="AD248" s="80"/>
      <c r="AE248" s="80"/>
      <c r="AF248" s="80"/>
      <c r="AG248" s="80"/>
      <c r="AH248" s="80"/>
      <c r="AI248" s="80"/>
      <c r="AJ248" s="80"/>
      <c r="AK248" s="80"/>
      <c r="AL248" s="80"/>
      <c r="AM248" s="80"/>
      <c r="AN248" s="2"/>
      <c r="AO248" s="2"/>
    </row>
    <row r="249" spans="1:41" ht="12.75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93"/>
      <c r="Q249" s="93"/>
      <c r="R249" s="93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  <c r="AC249" s="80"/>
      <c r="AD249" s="80"/>
      <c r="AE249" s="80"/>
      <c r="AF249" s="80"/>
      <c r="AG249" s="80"/>
      <c r="AH249" s="80"/>
      <c r="AI249" s="80"/>
      <c r="AJ249" s="80"/>
      <c r="AK249" s="80"/>
      <c r="AL249" s="80"/>
      <c r="AM249" s="80"/>
      <c r="AN249" s="2"/>
      <c r="AO249" s="2"/>
    </row>
    <row r="250" spans="1:41" ht="12.75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93"/>
      <c r="Q250" s="93"/>
      <c r="R250" s="93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  <c r="AG250" s="80"/>
      <c r="AH250" s="80"/>
      <c r="AI250" s="80"/>
      <c r="AJ250" s="80"/>
      <c r="AK250" s="80"/>
      <c r="AL250" s="80"/>
      <c r="AM250" s="80"/>
      <c r="AN250" s="2"/>
      <c r="AO250" s="2"/>
    </row>
    <row r="251" spans="1:41" ht="12.75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93"/>
      <c r="Q251" s="93"/>
      <c r="R251" s="93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  <c r="AF251" s="80"/>
      <c r="AG251" s="80"/>
      <c r="AH251" s="80"/>
      <c r="AI251" s="80"/>
      <c r="AJ251" s="80"/>
      <c r="AK251" s="80"/>
      <c r="AL251" s="80"/>
      <c r="AM251" s="80"/>
      <c r="AN251" s="2"/>
      <c r="AO251" s="2"/>
    </row>
    <row r="252" spans="1:41" ht="12.75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93"/>
      <c r="Q252" s="93"/>
      <c r="R252" s="93"/>
      <c r="S252" s="80"/>
      <c r="T252" s="80"/>
      <c r="U252" s="80"/>
      <c r="V252" s="80"/>
      <c r="W252" s="80"/>
      <c r="X252" s="80"/>
      <c r="Y252" s="80"/>
      <c r="Z252" s="80"/>
      <c r="AA252" s="80"/>
      <c r="AB252" s="80"/>
      <c r="AC252" s="80"/>
      <c r="AD252" s="80"/>
      <c r="AE252" s="80"/>
      <c r="AF252" s="80"/>
      <c r="AG252" s="80"/>
      <c r="AH252" s="80"/>
      <c r="AI252" s="80"/>
      <c r="AJ252" s="80"/>
      <c r="AK252" s="80"/>
      <c r="AL252" s="80"/>
      <c r="AM252" s="80"/>
      <c r="AN252" s="2"/>
      <c r="AO252" s="2"/>
    </row>
    <row r="253" spans="1:41" ht="12.75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93"/>
      <c r="Q253" s="93"/>
      <c r="R253" s="93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  <c r="AC253" s="80"/>
      <c r="AD253" s="80"/>
      <c r="AE253" s="80"/>
      <c r="AF253" s="80"/>
      <c r="AG253" s="80"/>
      <c r="AH253" s="80"/>
      <c r="AI253" s="80"/>
      <c r="AJ253" s="80"/>
      <c r="AK253" s="80"/>
      <c r="AL253" s="80"/>
      <c r="AM253" s="80"/>
      <c r="AN253" s="2"/>
      <c r="AO253" s="2"/>
    </row>
    <row r="254" spans="1:41" ht="12.75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93"/>
      <c r="Q254" s="93"/>
      <c r="R254" s="93"/>
      <c r="S254" s="80"/>
      <c r="T254" s="80"/>
      <c r="U254" s="80"/>
      <c r="V254" s="80"/>
      <c r="W254" s="80"/>
      <c r="X254" s="80"/>
      <c r="Y254" s="80"/>
      <c r="Z254" s="80"/>
      <c r="AA254" s="80"/>
      <c r="AB254" s="80"/>
      <c r="AC254" s="80"/>
      <c r="AD254" s="80"/>
      <c r="AE254" s="80"/>
      <c r="AF254" s="80"/>
      <c r="AG254" s="80"/>
      <c r="AH254" s="80"/>
      <c r="AI254" s="80"/>
      <c r="AJ254" s="80"/>
      <c r="AK254" s="80"/>
      <c r="AL254" s="80"/>
      <c r="AM254" s="80"/>
      <c r="AN254" s="2"/>
      <c r="AO254" s="2"/>
    </row>
    <row r="255" spans="1:41" ht="12.75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93"/>
      <c r="Q255" s="93"/>
      <c r="R255" s="93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  <c r="AC255" s="80"/>
      <c r="AD255" s="80"/>
      <c r="AE255" s="80"/>
      <c r="AF255" s="80"/>
      <c r="AG255" s="80"/>
      <c r="AH255" s="80"/>
      <c r="AI255" s="80"/>
      <c r="AJ255" s="80"/>
      <c r="AK255" s="80"/>
      <c r="AL255" s="80"/>
      <c r="AM255" s="80"/>
      <c r="AN255" s="2"/>
      <c r="AO255" s="2"/>
    </row>
    <row r="256" spans="1:41" ht="12.75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93"/>
      <c r="Q256" s="93"/>
      <c r="R256" s="93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  <c r="AC256" s="80"/>
      <c r="AD256" s="80"/>
      <c r="AE256" s="80"/>
      <c r="AF256" s="80"/>
      <c r="AG256" s="80"/>
      <c r="AH256" s="80"/>
      <c r="AI256" s="80"/>
      <c r="AJ256" s="80"/>
      <c r="AK256" s="80"/>
      <c r="AL256" s="80"/>
      <c r="AM256" s="80"/>
      <c r="AN256" s="2"/>
      <c r="AO256" s="2"/>
    </row>
    <row r="257" spans="1:41" ht="12.75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93"/>
      <c r="Q257" s="93"/>
      <c r="R257" s="93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  <c r="AC257" s="80"/>
      <c r="AD257" s="80"/>
      <c r="AE257" s="80"/>
      <c r="AF257" s="80"/>
      <c r="AG257" s="80"/>
      <c r="AH257" s="80"/>
      <c r="AI257" s="80"/>
      <c r="AJ257" s="80"/>
      <c r="AK257" s="80"/>
      <c r="AL257" s="80"/>
      <c r="AM257" s="80"/>
      <c r="AN257" s="2"/>
      <c r="AO257" s="2"/>
    </row>
    <row r="258" spans="1:41" ht="12.75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93"/>
      <c r="Q258" s="93"/>
      <c r="R258" s="93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  <c r="AF258" s="80"/>
      <c r="AG258" s="80"/>
      <c r="AH258" s="80"/>
      <c r="AI258" s="80"/>
      <c r="AJ258" s="80"/>
      <c r="AK258" s="80"/>
      <c r="AL258" s="80"/>
      <c r="AM258" s="80"/>
      <c r="AN258" s="2"/>
      <c r="AO258" s="2"/>
    </row>
    <row r="259" spans="1:41" ht="12.75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93"/>
      <c r="Q259" s="93"/>
      <c r="R259" s="93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  <c r="AC259" s="80"/>
      <c r="AD259" s="80"/>
      <c r="AE259" s="80"/>
      <c r="AF259" s="80"/>
      <c r="AG259" s="80"/>
      <c r="AH259" s="80"/>
      <c r="AI259" s="80"/>
      <c r="AJ259" s="80"/>
      <c r="AK259" s="80"/>
      <c r="AL259" s="80"/>
      <c r="AM259" s="80"/>
      <c r="AN259" s="2"/>
      <c r="AO259" s="2"/>
    </row>
    <row r="260" spans="1:41" ht="12.75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93"/>
      <c r="Q260" s="93"/>
      <c r="R260" s="93"/>
      <c r="S260" s="80"/>
      <c r="T260" s="80"/>
      <c r="U260" s="80"/>
      <c r="V260" s="80"/>
      <c r="W260" s="80"/>
      <c r="X260" s="80"/>
      <c r="Y260" s="80"/>
      <c r="Z260" s="80"/>
      <c r="AA260" s="80"/>
      <c r="AB260" s="80"/>
      <c r="AC260" s="80"/>
      <c r="AD260" s="80"/>
      <c r="AE260" s="80"/>
      <c r="AF260" s="80"/>
      <c r="AG260" s="80"/>
      <c r="AH260" s="80"/>
      <c r="AI260" s="80"/>
      <c r="AJ260" s="80"/>
      <c r="AK260" s="80"/>
      <c r="AL260" s="80"/>
      <c r="AM260" s="80"/>
      <c r="AN260" s="2"/>
      <c r="AO260" s="2"/>
    </row>
    <row r="261" spans="1:41" ht="12.75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93"/>
      <c r="Q261" s="93"/>
      <c r="R261" s="93"/>
      <c r="S261" s="80"/>
      <c r="T261" s="80"/>
      <c r="U261" s="80"/>
      <c r="V261" s="80"/>
      <c r="W261" s="80"/>
      <c r="X261" s="80"/>
      <c r="Y261" s="80"/>
      <c r="Z261" s="80"/>
      <c r="AA261" s="80"/>
      <c r="AB261" s="80"/>
      <c r="AC261" s="80"/>
      <c r="AD261" s="80"/>
      <c r="AE261" s="80"/>
      <c r="AF261" s="80"/>
      <c r="AG261" s="80"/>
      <c r="AH261" s="80"/>
      <c r="AI261" s="80"/>
      <c r="AJ261" s="80"/>
      <c r="AK261" s="80"/>
      <c r="AL261" s="80"/>
      <c r="AM261" s="80"/>
      <c r="AN261" s="2"/>
      <c r="AO261" s="2"/>
    </row>
    <row r="262" spans="1:41" ht="12.75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93"/>
      <c r="Q262" s="93"/>
      <c r="R262" s="93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  <c r="AC262" s="80"/>
      <c r="AD262" s="80"/>
      <c r="AE262" s="80"/>
      <c r="AF262" s="80"/>
      <c r="AG262" s="80"/>
      <c r="AH262" s="80"/>
      <c r="AI262" s="80"/>
      <c r="AJ262" s="80"/>
      <c r="AK262" s="80"/>
      <c r="AL262" s="80"/>
      <c r="AM262" s="80"/>
      <c r="AN262" s="2"/>
      <c r="AO262" s="2"/>
    </row>
    <row r="263" spans="1:41" ht="12.75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93"/>
      <c r="Q263" s="93"/>
      <c r="R263" s="93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  <c r="AC263" s="80"/>
      <c r="AD263" s="80"/>
      <c r="AE263" s="80"/>
      <c r="AF263" s="80"/>
      <c r="AG263" s="80"/>
      <c r="AH263" s="80"/>
      <c r="AI263" s="80"/>
      <c r="AJ263" s="80"/>
      <c r="AK263" s="80"/>
      <c r="AL263" s="80"/>
      <c r="AM263" s="80"/>
      <c r="AN263" s="2"/>
      <c r="AO263" s="2"/>
    </row>
    <row r="264" spans="1:41" ht="12.75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93"/>
      <c r="Q264" s="93"/>
      <c r="R264" s="93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  <c r="AC264" s="80"/>
      <c r="AD264" s="80"/>
      <c r="AE264" s="80"/>
      <c r="AF264" s="80"/>
      <c r="AG264" s="80"/>
      <c r="AH264" s="80"/>
      <c r="AI264" s="80"/>
      <c r="AJ264" s="80"/>
      <c r="AK264" s="80"/>
      <c r="AL264" s="80"/>
      <c r="AM264" s="80"/>
      <c r="AN264" s="2"/>
      <c r="AO264" s="2"/>
    </row>
    <row r="265" spans="1:41" ht="12.75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93"/>
      <c r="Q265" s="93"/>
      <c r="R265" s="93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  <c r="AC265" s="80"/>
      <c r="AD265" s="80"/>
      <c r="AE265" s="80"/>
      <c r="AF265" s="80"/>
      <c r="AG265" s="80"/>
      <c r="AH265" s="80"/>
      <c r="AI265" s="80"/>
      <c r="AJ265" s="80"/>
      <c r="AK265" s="80"/>
      <c r="AL265" s="80"/>
      <c r="AM265" s="80"/>
      <c r="AN265" s="2"/>
      <c r="AO265" s="2"/>
    </row>
    <row r="266" spans="1:41" ht="12.75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93"/>
      <c r="Q266" s="93"/>
      <c r="R266" s="93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  <c r="AC266" s="80"/>
      <c r="AD266" s="80"/>
      <c r="AE266" s="80"/>
      <c r="AF266" s="80"/>
      <c r="AG266" s="80"/>
      <c r="AH266" s="80"/>
      <c r="AI266" s="80"/>
      <c r="AJ266" s="80"/>
      <c r="AK266" s="80"/>
      <c r="AL266" s="80"/>
      <c r="AM266" s="80"/>
      <c r="AN266" s="2"/>
      <c r="AO266" s="2"/>
    </row>
    <row r="267" spans="1:41" ht="12.75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93"/>
      <c r="Q267" s="93"/>
      <c r="R267" s="93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  <c r="AC267" s="80"/>
      <c r="AD267" s="80"/>
      <c r="AE267" s="80"/>
      <c r="AF267" s="80"/>
      <c r="AG267" s="80"/>
      <c r="AH267" s="80"/>
      <c r="AI267" s="80"/>
      <c r="AJ267" s="80"/>
      <c r="AK267" s="80"/>
      <c r="AL267" s="80"/>
      <c r="AM267" s="80"/>
      <c r="AN267" s="2"/>
      <c r="AO267" s="2"/>
    </row>
    <row r="268" spans="1:41" ht="12.75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93"/>
      <c r="Q268" s="93"/>
      <c r="R268" s="93"/>
      <c r="S268" s="80"/>
      <c r="T268" s="80"/>
      <c r="U268" s="80"/>
      <c r="V268" s="80"/>
      <c r="W268" s="80"/>
      <c r="X268" s="80"/>
      <c r="Y268" s="80"/>
      <c r="Z268" s="80"/>
      <c r="AA268" s="80"/>
      <c r="AB268" s="80"/>
      <c r="AC268" s="80"/>
      <c r="AD268" s="80"/>
      <c r="AE268" s="80"/>
      <c r="AF268" s="80"/>
      <c r="AG268" s="80"/>
      <c r="AH268" s="80"/>
      <c r="AI268" s="80"/>
      <c r="AJ268" s="80"/>
      <c r="AK268" s="80"/>
      <c r="AL268" s="80"/>
      <c r="AM268" s="80"/>
      <c r="AN268" s="2"/>
      <c r="AO268" s="2"/>
    </row>
    <row r="269" spans="1:41" ht="12.75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93"/>
      <c r="Q269" s="93"/>
      <c r="R269" s="93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  <c r="AH269" s="80"/>
      <c r="AI269" s="80"/>
      <c r="AJ269" s="80"/>
      <c r="AK269" s="80"/>
      <c r="AL269" s="80"/>
      <c r="AM269" s="80"/>
      <c r="AN269" s="2"/>
      <c r="AO269" s="2"/>
    </row>
    <row r="270" spans="1:41" ht="12.75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93"/>
      <c r="Q270" s="93"/>
      <c r="R270" s="93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  <c r="AC270" s="80"/>
      <c r="AD270" s="80"/>
      <c r="AE270" s="80"/>
      <c r="AF270" s="80"/>
      <c r="AG270" s="80"/>
      <c r="AH270" s="80"/>
      <c r="AI270" s="80"/>
      <c r="AJ270" s="80"/>
      <c r="AK270" s="80"/>
      <c r="AL270" s="80"/>
      <c r="AM270" s="80"/>
      <c r="AN270" s="2"/>
      <c r="AO270" s="2"/>
    </row>
    <row r="271" spans="1:41" ht="12.75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93"/>
      <c r="Q271" s="93"/>
      <c r="R271" s="93"/>
      <c r="S271" s="80"/>
      <c r="T271" s="80"/>
      <c r="U271" s="80"/>
      <c r="V271" s="80"/>
      <c r="W271" s="80"/>
      <c r="X271" s="80"/>
      <c r="Y271" s="80"/>
      <c r="Z271" s="80"/>
      <c r="AA271" s="80"/>
      <c r="AB271" s="80"/>
      <c r="AC271" s="80"/>
      <c r="AD271" s="80"/>
      <c r="AE271" s="80"/>
      <c r="AF271" s="80"/>
      <c r="AG271" s="80"/>
      <c r="AH271" s="80"/>
      <c r="AI271" s="80"/>
      <c r="AJ271" s="80"/>
      <c r="AK271" s="80"/>
      <c r="AL271" s="80"/>
      <c r="AM271" s="80"/>
      <c r="AN271" s="2"/>
      <c r="AO271" s="2"/>
    </row>
    <row r="272" spans="1:41" ht="12.75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93"/>
      <c r="Q272" s="93"/>
      <c r="R272" s="93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  <c r="AC272" s="80"/>
      <c r="AD272" s="80"/>
      <c r="AE272" s="80"/>
      <c r="AF272" s="80"/>
      <c r="AG272" s="80"/>
      <c r="AH272" s="80"/>
      <c r="AI272" s="80"/>
      <c r="AJ272" s="80"/>
      <c r="AK272" s="80"/>
      <c r="AL272" s="80"/>
      <c r="AM272" s="80"/>
      <c r="AN272" s="2"/>
      <c r="AO272" s="2"/>
    </row>
    <row r="273" spans="1:41" ht="12.75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93"/>
      <c r="Q273" s="93"/>
      <c r="R273" s="93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  <c r="AC273" s="80"/>
      <c r="AD273" s="80"/>
      <c r="AE273" s="80"/>
      <c r="AF273" s="80"/>
      <c r="AG273" s="80"/>
      <c r="AH273" s="80"/>
      <c r="AI273" s="80"/>
      <c r="AJ273" s="80"/>
      <c r="AK273" s="80"/>
      <c r="AL273" s="80"/>
      <c r="AM273" s="80"/>
      <c r="AN273" s="2"/>
      <c r="AO273" s="2"/>
    </row>
    <row r="274" spans="1:41" ht="12.75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93"/>
      <c r="Q274" s="93"/>
      <c r="R274" s="93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  <c r="AD274" s="80"/>
      <c r="AE274" s="80"/>
      <c r="AF274" s="80"/>
      <c r="AG274" s="80"/>
      <c r="AH274" s="80"/>
      <c r="AI274" s="80"/>
      <c r="AJ274" s="80"/>
      <c r="AK274" s="80"/>
      <c r="AL274" s="80"/>
      <c r="AM274" s="80"/>
      <c r="AN274" s="2"/>
      <c r="AO274" s="2"/>
    </row>
    <row r="275" spans="1:41" ht="12.75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93"/>
      <c r="Q275" s="93"/>
      <c r="R275" s="93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  <c r="AG275" s="80"/>
      <c r="AH275" s="80"/>
      <c r="AI275" s="80"/>
      <c r="AJ275" s="80"/>
      <c r="AK275" s="80"/>
      <c r="AL275" s="80"/>
      <c r="AM275" s="80"/>
      <c r="AN275" s="2"/>
      <c r="AO275" s="2"/>
    </row>
    <row r="276" spans="1:41" ht="12.75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93"/>
      <c r="Q276" s="93"/>
      <c r="R276" s="93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  <c r="AH276" s="80"/>
      <c r="AI276" s="80"/>
      <c r="AJ276" s="80"/>
      <c r="AK276" s="80"/>
      <c r="AL276" s="80"/>
      <c r="AM276" s="80"/>
      <c r="AN276" s="2"/>
      <c r="AO276" s="2"/>
    </row>
    <row r="277" spans="1:41" ht="12.75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93"/>
      <c r="Q277" s="93"/>
      <c r="R277" s="93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80"/>
      <c r="AH277" s="80"/>
      <c r="AI277" s="80"/>
      <c r="AJ277" s="80"/>
      <c r="AK277" s="80"/>
      <c r="AL277" s="80"/>
      <c r="AM277" s="80"/>
      <c r="AN277" s="2"/>
      <c r="AO277" s="2"/>
    </row>
    <row r="278" spans="1:41" ht="12.75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93"/>
      <c r="Q278" s="93"/>
      <c r="R278" s="93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  <c r="AH278" s="80"/>
      <c r="AI278" s="80"/>
      <c r="AJ278" s="80"/>
      <c r="AK278" s="80"/>
      <c r="AL278" s="80"/>
      <c r="AM278" s="80"/>
      <c r="AN278" s="2"/>
      <c r="AO278" s="2"/>
    </row>
    <row r="279" spans="1:41" ht="12.75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93"/>
      <c r="Q279" s="93"/>
      <c r="R279" s="93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  <c r="AG279" s="80"/>
      <c r="AH279" s="80"/>
      <c r="AI279" s="80"/>
      <c r="AJ279" s="80"/>
      <c r="AK279" s="80"/>
      <c r="AL279" s="80"/>
      <c r="AM279" s="80"/>
      <c r="AN279" s="2"/>
      <c r="AO279" s="2"/>
    </row>
    <row r="280" spans="1:41" ht="12.75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93"/>
      <c r="Q280" s="93"/>
      <c r="R280" s="93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80"/>
      <c r="AH280" s="80"/>
      <c r="AI280" s="80"/>
      <c r="AJ280" s="80"/>
      <c r="AK280" s="80"/>
      <c r="AL280" s="80"/>
      <c r="AM280" s="80"/>
      <c r="AN280" s="2"/>
      <c r="AO280" s="2"/>
    </row>
    <row r="281" spans="1:41" ht="12.75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93"/>
      <c r="Q281" s="93"/>
      <c r="R281" s="93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  <c r="AH281" s="80"/>
      <c r="AI281" s="80"/>
      <c r="AJ281" s="80"/>
      <c r="AK281" s="80"/>
      <c r="AL281" s="80"/>
      <c r="AM281" s="80"/>
      <c r="AN281" s="2"/>
      <c r="AO281" s="2"/>
    </row>
    <row r="282" spans="1:41" ht="12.75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93"/>
      <c r="Q282" s="93"/>
      <c r="R282" s="93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80"/>
      <c r="AH282" s="80"/>
      <c r="AI282" s="80"/>
      <c r="AJ282" s="80"/>
      <c r="AK282" s="80"/>
      <c r="AL282" s="80"/>
      <c r="AM282" s="80"/>
      <c r="AN282" s="2"/>
      <c r="AO282" s="2"/>
    </row>
    <row r="283" spans="1:41" ht="12.75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93"/>
      <c r="Q283" s="93"/>
      <c r="R283" s="93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2"/>
      <c r="AO283" s="2"/>
    </row>
    <row r="284" spans="1:41" ht="12.75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93"/>
      <c r="Q284" s="93"/>
      <c r="R284" s="93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  <c r="AG284" s="80"/>
      <c r="AH284" s="80"/>
      <c r="AI284" s="80"/>
      <c r="AJ284" s="80"/>
      <c r="AK284" s="80"/>
      <c r="AL284" s="80"/>
      <c r="AM284" s="80"/>
      <c r="AN284" s="2"/>
      <c r="AO284" s="2"/>
    </row>
    <row r="285" spans="1:41" ht="12.75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93"/>
      <c r="Q285" s="93"/>
      <c r="R285" s="93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80"/>
      <c r="AH285" s="80"/>
      <c r="AI285" s="80"/>
      <c r="AJ285" s="80"/>
      <c r="AK285" s="80"/>
      <c r="AL285" s="80"/>
      <c r="AM285" s="80"/>
      <c r="AN285" s="2"/>
      <c r="AO285" s="2"/>
    </row>
    <row r="286" spans="1:41" ht="12.75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93"/>
      <c r="Q286" s="93"/>
      <c r="R286" s="93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  <c r="AH286" s="80"/>
      <c r="AI286" s="80"/>
      <c r="AJ286" s="80"/>
      <c r="AK286" s="80"/>
      <c r="AL286" s="80"/>
      <c r="AM286" s="80"/>
      <c r="AN286" s="2"/>
      <c r="AO286" s="2"/>
    </row>
    <row r="287" spans="1:41" ht="12.75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93"/>
      <c r="Q287" s="93"/>
      <c r="R287" s="93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80"/>
      <c r="AH287" s="80"/>
      <c r="AI287" s="80"/>
      <c r="AJ287" s="80"/>
      <c r="AK287" s="80"/>
      <c r="AL287" s="80"/>
      <c r="AM287" s="80"/>
      <c r="AN287" s="2"/>
      <c r="AO287" s="2"/>
    </row>
    <row r="288" spans="1:41" ht="12.75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93"/>
      <c r="Q288" s="93"/>
      <c r="R288" s="93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80"/>
      <c r="AH288" s="80"/>
      <c r="AI288" s="80"/>
      <c r="AJ288" s="80"/>
      <c r="AK288" s="80"/>
      <c r="AL288" s="80"/>
      <c r="AM288" s="80"/>
      <c r="AN288" s="2"/>
      <c r="AO288" s="2"/>
    </row>
    <row r="289" spans="1:41" ht="12.75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93"/>
      <c r="Q289" s="93"/>
      <c r="R289" s="93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  <c r="AH289" s="80"/>
      <c r="AI289" s="80"/>
      <c r="AJ289" s="80"/>
      <c r="AK289" s="80"/>
      <c r="AL289" s="80"/>
      <c r="AM289" s="80"/>
      <c r="AN289" s="2"/>
      <c r="AO289" s="2"/>
    </row>
    <row r="290" spans="1:41" ht="12.75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93"/>
      <c r="Q290" s="93"/>
      <c r="R290" s="93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s="80"/>
      <c r="AI290" s="80"/>
      <c r="AJ290" s="80"/>
      <c r="AK290" s="80"/>
      <c r="AL290" s="80"/>
      <c r="AM290" s="80"/>
      <c r="AN290" s="2"/>
      <c r="AO290" s="2"/>
    </row>
    <row r="291" spans="1:41" ht="12.75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93"/>
      <c r="Q291" s="93"/>
      <c r="R291" s="93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  <c r="AH291" s="80"/>
      <c r="AI291" s="80"/>
      <c r="AJ291" s="80"/>
      <c r="AK291" s="80"/>
      <c r="AL291" s="80"/>
      <c r="AM291" s="80"/>
      <c r="AN291" s="2"/>
      <c r="AO291" s="2"/>
    </row>
    <row r="292" spans="1:41" ht="12.75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93"/>
      <c r="Q292" s="93"/>
      <c r="R292" s="93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  <c r="AL292" s="80"/>
      <c r="AM292" s="80"/>
      <c r="AN292" s="2"/>
      <c r="AO292" s="2"/>
    </row>
    <row r="293" spans="1:41" ht="12.75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93"/>
      <c r="Q293" s="93"/>
      <c r="R293" s="93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  <c r="AL293" s="80"/>
      <c r="AM293" s="80"/>
      <c r="AN293" s="2"/>
      <c r="AO293" s="2"/>
    </row>
    <row r="294" spans="1:41" ht="12.75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93"/>
      <c r="Q294" s="93"/>
      <c r="R294" s="93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  <c r="AL294" s="80"/>
      <c r="AM294" s="80"/>
      <c r="AN294" s="2"/>
      <c r="AO294" s="2"/>
    </row>
    <row r="295" spans="1:41" ht="12.75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93"/>
      <c r="Q295" s="93"/>
      <c r="R295" s="93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  <c r="AH295" s="80"/>
      <c r="AI295" s="80"/>
      <c r="AJ295" s="80"/>
      <c r="AK295" s="80"/>
      <c r="AL295" s="80"/>
      <c r="AM295" s="80"/>
      <c r="AN295" s="2"/>
      <c r="AO295" s="2"/>
    </row>
    <row r="296" spans="1:41" ht="12.75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93"/>
      <c r="Q296" s="93"/>
      <c r="R296" s="93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  <c r="AH296" s="80"/>
      <c r="AI296" s="80"/>
      <c r="AJ296" s="80"/>
      <c r="AK296" s="80"/>
      <c r="AL296" s="80"/>
      <c r="AM296" s="80"/>
      <c r="AN296" s="2"/>
      <c r="AO296" s="2"/>
    </row>
    <row r="297" spans="1:41" ht="12.75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93"/>
      <c r="Q297" s="93"/>
      <c r="R297" s="93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  <c r="AH297" s="80"/>
      <c r="AI297" s="80"/>
      <c r="AJ297" s="80"/>
      <c r="AK297" s="80"/>
      <c r="AL297" s="80"/>
      <c r="AM297" s="80"/>
      <c r="AN297" s="2"/>
      <c r="AO297" s="2"/>
    </row>
    <row r="298" spans="1:41" ht="12.75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93"/>
      <c r="Q298" s="93"/>
      <c r="R298" s="93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80"/>
      <c r="AH298" s="80"/>
      <c r="AI298" s="80"/>
      <c r="AJ298" s="80"/>
      <c r="AK298" s="80"/>
      <c r="AL298" s="80"/>
      <c r="AM298" s="80"/>
      <c r="AN298" s="2"/>
      <c r="AO298" s="2"/>
    </row>
    <row r="299" spans="1:41" ht="12.75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93"/>
      <c r="Q299" s="93"/>
      <c r="R299" s="93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80"/>
      <c r="AH299" s="80"/>
      <c r="AI299" s="80"/>
      <c r="AJ299" s="80"/>
      <c r="AK299" s="80"/>
      <c r="AL299" s="80"/>
      <c r="AM299" s="80"/>
      <c r="AN299" s="2"/>
      <c r="AO299" s="2"/>
    </row>
    <row r="300" spans="1:41" ht="12.75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93"/>
      <c r="Q300" s="93"/>
      <c r="R300" s="93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80"/>
      <c r="AH300" s="80"/>
      <c r="AI300" s="80"/>
      <c r="AJ300" s="80"/>
      <c r="AK300" s="80"/>
      <c r="AL300" s="80"/>
      <c r="AM300" s="80"/>
      <c r="AN300" s="2"/>
      <c r="AO300" s="2"/>
    </row>
    <row r="301" spans="1:41" ht="12.75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93"/>
      <c r="Q301" s="93"/>
      <c r="R301" s="93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  <c r="AH301" s="80"/>
      <c r="AI301" s="80"/>
      <c r="AJ301" s="80"/>
      <c r="AK301" s="80"/>
      <c r="AL301" s="80"/>
      <c r="AM301" s="80"/>
      <c r="AN301" s="2"/>
      <c r="AO301" s="2"/>
    </row>
    <row r="302" spans="1:41" ht="12.75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93"/>
      <c r="Q302" s="93"/>
      <c r="R302" s="93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80"/>
      <c r="AH302" s="80"/>
      <c r="AI302" s="80"/>
      <c r="AJ302" s="80"/>
      <c r="AK302" s="80"/>
      <c r="AL302" s="80"/>
      <c r="AM302" s="80"/>
      <c r="AN302" s="2"/>
      <c r="AO302" s="2"/>
    </row>
    <row r="303" spans="1:41" ht="12.75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93"/>
      <c r="Q303" s="93"/>
      <c r="R303" s="93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0"/>
      <c r="AL303" s="80"/>
      <c r="AM303" s="80"/>
      <c r="AN303" s="2"/>
      <c r="AO303" s="2"/>
    </row>
    <row r="304" spans="1:41" ht="12.75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93"/>
      <c r="Q304" s="93"/>
      <c r="R304" s="93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  <c r="AH304" s="80"/>
      <c r="AI304" s="80"/>
      <c r="AJ304" s="80"/>
      <c r="AK304" s="80"/>
      <c r="AL304" s="80"/>
      <c r="AM304" s="80"/>
      <c r="AN304" s="2"/>
      <c r="AO304" s="2"/>
    </row>
    <row r="305" spans="1:41" ht="12.75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93"/>
      <c r="Q305" s="93"/>
      <c r="R305" s="93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  <c r="AN305" s="2"/>
      <c r="AO305" s="2"/>
    </row>
    <row r="306" spans="1:41" ht="12.75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93"/>
      <c r="Q306" s="93"/>
      <c r="R306" s="93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  <c r="AH306" s="80"/>
      <c r="AI306" s="80"/>
      <c r="AJ306" s="80"/>
      <c r="AK306" s="80"/>
      <c r="AL306" s="80"/>
      <c r="AM306" s="80"/>
      <c r="AN306" s="2"/>
      <c r="AO306" s="2"/>
    </row>
    <row r="307" spans="1:41" ht="12.75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93"/>
      <c r="Q307" s="93"/>
      <c r="R307" s="93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  <c r="AH307" s="80"/>
      <c r="AI307" s="80"/>
      <c r="AJ307" s="80"/>
      <c r="AK307" s="80"/>
      <c r="AL307" s="80"/>
      <c r="AM307" s="80"/>
      <c r="AN307" s="2"/>
      <c r="AO307" s="2"/>
    </row>
    <row r="308" spans="1:41" ht="12.75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93"/>
      <c r="Q308" s="93"/>
      <c r="R308" s="93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  <c r="AH308" s="80"/>
      <c r="AI308" s="80"/>
      <c r="AJ308" s="80"/>
      <c r="AK308" s="80"/>
      <c r="AL308" s="80"/>
      <c r="AM308" s="80"/>
      <c r="AN308" s="2"/>
      <c r="AO308" s="2"/>
    </row>
    <row r="309" spans="1:41" ht="12.75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93"/>
      <c r="Q309" s="93"/>
      <c r="R309" s="93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80"/>
      <c r="AH309" s="80"/>
      <c r="AI309" s="80"/>
      <c r="AJ309" s="80"/>
      <c r="AK309" s="80"/>
      <c r="AL309" s="80"/>
      <c r="AM309" s="80"/>
      <c r="AN309" s="2"/>
      <c r="AO309" s="2"/>
    </row>
    <row r="310" spans="1:41" ht="12.75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93"/>
      <c r="Q310" s="93"/>
      <c r="R310" s="93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  <c r="AH310" s="80"/>
      <c r="AI310" s="80"/>
      <c r="AJ310" s="80"/>
      <c r="AK310" s="80"/>
      <c r="AL310" s="80"/>
      <c r="AM310" s="80"/>
      <c r="AN310" s="2"/>
      <c r="AO310" s="2"/>
    </row>
    <row r="311" spans="1:41" ht="12.75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93"/>
      <c r="Q311" s="93"/>
      <c r="R311" s="93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80"/>
      <c r="AH311" s="80"/>
      <c r="AI311" s="80"/>
      <c r="AJ311" s="80"/>
      <c r="AK311" s="80"/>
      <c r="AL311" s="80"/>
      <c r="AM311" s="80"/>
      <c r="AN311" s="2"/>
      <c r="AO311" s="2"/>
    </row>
    <row r="312" spans="1:41" ht="12.75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93"/>
      <c r="Q312" s="93"/>
      <c r="R312" s="93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  <c r="AH312" s="80"/>
      <c r="AI312" s="80"/>
      <c r="AJ312" s="80"/>
      <c r="AK312" s="80"/>
      <c r="AL312" s="80"/>
      <c r="AM312" s="80"/>
      <c r="AN312" s="2"/>
      <c r="AO312" s="2"/>
    </row>
    <row r="313" spans="1:41" ht="12.75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93"/>
      <c r="Q313" s="93"/>
      <c r="R313" s="93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80"/>
      <c r="AH313" s="80"/>
      <c r="AI313" s="80"/>
      <c r="AJ313" s="80"/>
      <c r="AK313" s="80"/>
      <c r="AL313" s="80"/>
      <c r="AM313" s="80"/>
      <c r="AN313" s="2"/>
      <c r="AO313" s="2"/>
    </row>
    <row r="314" spans="1:41" ht="12.75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93"/>
      <c r="Q314" s="93"/>
      <c r="R314" s="93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  <c r="AH314" s="80"/>
      <c r="AI314" s="80"/>
      <c r="AJ314" s="80"/>
      <c r="AK314" s="80"/>
      <c r="AL314" s="80"/>
      <c r="AM314" s="80"/>
      <c r="AN314" s="2"/>
      <c r="AO314" s="2"/>
    </row>
    <row r="315" spans="1:41" ht="12.75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93"/>
      <c r="Q315" s="93"/>
      <c r="R315" s="93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80"/>
      <c r="AH315" s="80"/>
      <c r="AI315" s="80"/>
      <c r="AJ315" s="80"/>
      <c r="AK315" s="80"/>
      <c r="AL315" s="80"/>
      <c r="AM315" s="80"/>
      <c r="AN315" s="2"/>
      <c r="AO315" s="2"/>
    </row>
    <row r="316" spans="1:41" ht="12.75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93"/>
      <c r="Q316" s="93"/>
      <c r="R316" s="93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80"/>
      <c r="AH316" s="80"/>
      <c r="AI316" s="80"/>
      <c r="AJ316" s="80"/>
      <c r="AK316" s="80"/>
      <c r="AL316" s="80"/>
      <c r="AM316" s="80"/>
      <c r="AN316" s="2"/>
      <c r="AO316" s="2"/>
    </row>
    <row r="317" spans="1:41" ht="12.75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93"/>
      <c r="Q317" s="93"/>
      <c r="R317" s="93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80"/>
      <c r="AH317" s="80"/>
      <c r="AI317" s="80"/>
      <c r="AJ317" s="80"/>
      <c r="AK317" s="80"/>
      <c r="AL317" s="80"/>
      <c r="AM317" s="80"/>
      <c r="AN317" s="2"/>
      <c r="AO317" s="2"/>
    </row>
    <row r="318" spans="1:41" ht="12.75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93"/>
      <c r="Q318" s="93"/>
      <c r="R318" s="93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  <c r="AH318" s="80"/>
      <c r="AI318" s="80"/>
      <c r="AJ318" s="80"/>
      <c r="AK318" s="80"/>
      <c r="AL318" s="80"/>
      <c r="AM318" s="80"/>
      <c r="AN318" s="2"/>
      <c r="AO318" s="2"/>
    </row>
    <row r="319" spans="1:41" ht="12.75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93"/>
      <c r="Q319" s="93"/>
      <c r="R319" s="93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80"/>
      <c r="AH319" s="80"/>
      <c r="AI319" s="80"/>
      <c r="AJ319" s="80"/>
      <c r="AK319" s="80"/>
      <c r="AL319" s="80"/>
      <c r="AM319" s="80"/>
      <c r="AN319" s="2"/>
      <c r="AO319" s="2"/>
    </row>
    <row r="320" spans="1:41" ht="12.75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93"/>
      <c r="Q320" s="93"/>
      <c r="R320" s="93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  <c r="AH320" s="80"/>
      <c r="AI320" s="80"/>
      <c r="AJ320" s="80"/>
      <c r="AK320" s="80"/>
      <c r="AL320" s="80"/>
      <c r="AM320" s="80"/>
      <c r="AN320" s="2"/>
      <c r="AO320" s="2"/>
    </row>
    <row r="321" spans="1:41" ht="12.75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93"/>
      <c r="Q321" s="93"/>
      <c r="R321" s="93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  <c r="AH321" s="80"/>
      <c r="AI321" s="80"/>
      <c r="AJ321" s="80"/>
      <c r="AK321" s="80"/>
      <c r="AL321" s="80"/>
      <c r="AM321" s="80"/>
      <c r="AN321" s="2"/>
      <c r="AO321" s="2"/>
    </row>
    <row r="322" spans="1:41" ht="12.75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93"/>
      <c r="Q322" s="93"/>
      <c r="R322" s="93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  <c r="AH322" s="80"/>
      <c r="AI322" s="80"/>
      <c r="AJ322" s="80"/>
      <c r="AK322" s="80"/>
      <c r="AL322" s="80"/>
      <c r="AM322" s="80"/>
      <c r="AN322" s="2"/>
      <c r="AO322" s="2"/>
    </row>
    <row r="323" spans="1:41" ht="12.75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93"/>
      <c r="Q323" s="93"/>
      <c r="R323" s="93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2"/>
      <c r="AO323" s="2"/>
    </row>
    <row r="324" spans="1:41" ht="12.75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93"/>
      <c r="Q324" s="93"/>
      <c r="R324" s="93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  <c r="AH324" s="80"/>
      <c r="AI324" s="80"/>
      <c r="AJ324" s="80"/>
      <c r="AK324" s="80"/>
      <c r="AL324" s="80"/>
      <c r="AM324" s="80"/>
      <c r="AN324" s="2"/>
      <c r="AO324" s="2"/>
    </row>
    <row r="325" spans="1:41" ht="12.75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93"/>
      <c r="Q325" s="93"/>
      <c r="R325" s="93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80"/>
      <c r="AH325" s="80"/>
      <c r="AI325" s="80"/>
      <c r="AJ325" s="80"/>
      <c r="AK325" s="80"/>
      <c r="AL325" s="80"/>
      <c r="AM325" s="80"/>
      <c r="AN325" s="2"/>
      <c r="AO325" s="2"/>
    </row>
    <row r="326" spans="1:41" ht="12.75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93"/>
      <c r="Q326" s="93"/>
      <c r="R326" s="93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  <c r="AH326" s="80"/>
      <c r="AI326" s="80"/>
      <c r="AJ326" s="80"/>
      <c r="AK326" s="80"/>
      <c r="AL326" s="80"/>
      <c r="AM326" s="80"/>
      <c r="AN326" s="2"/>
      <c r="AO326" s="2"/>
    </row>
    <row r="327" spans="1:41" ht="12.75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93"/>
      <c r="Q327" s="93"/>
      <c r="R327" s="93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80"/>
      <c r="AH327" s="80"/>
      <c r="AI327" s="80"/>
      <c r="AJ327" s="80"/>
      <c r="AK327" s="80"/>
      <c r="AL327" s="80"/>
      <c r="AM327" s="80"/>
      <c r="AN327" s="2"/>
      <c r="AO327" s="2"/>
    </row>
    <row r="328" spans="1:41" ht="12.75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93"/>
      <c r="Q328" s="93"/>
      <c r="R328" s="93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  <c r="AH328" s="80"/>
      <c r="AI328" s="80"/>
      <c r="AJ328" s="80"/>
      <c r="AK328" s="80"/>
      <c r="AL328" s="80"/>
      <c r="AM328" s="80"/>
      <c r="AN328" s="2"/>
      <c r="AO328" s="2"/>
    </row>
    <row r="329" spans="1:41" ht="12.75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93"/>
      <c r="Q329" s="93"/>
      <c r="R329" s="93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  <c r="AH329" s="80"/>
      <c r="AI329" s="80"/>
      <c r="AJ329" s="80"/>
      <c r="AK329" s="80"/>
      <c r="AL329" s="80"/>
      <c r="AM329" s="80"/>
      <c r="AN329" s="2"/>
      <c r="AO329" s="2"/>
    </row>
    <row r="330" spans="1:41" ht="12.75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93"/>
      <c r="Q330" s="93"/>
      <c r="R330" s="93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  <c r="AH330" s="80"/>
      <c r="AI330" s="80"/>
      <c r="AJ330" s="80"/>
      <c r="AK330" s="80"/>
      <c r="AL330" s="80"/>
      <c r="AM330" s="80"/>
      <c r="AN330" s="2"/>
      <c r="AO330" s="2"/>
    </row>
    <row r="331" spans="1:41" ht="12.75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93"/>
      <c r="Q331" s="93"/>
      <c r="R331" s="93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  <c r="AH331" s="80"/>
      <c r="AI331" s="80"/>
      <c r="AJ331" s="80"/>
      <c r="AK331" s="80"/>
      <c r="AL331" s="80"/>
      <c r="AM331" s="80"/>
      <c r="AN331" s="2"/>
      <c r="AO331" s="2"/>
    </row>
    <row r="332" spans="1:41" ht="12.75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93"/>
      <c r="Q332" s="93"/>
      <c r="R332" s="93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80"/>
      <c r="AH332" s="80"/>
      <c r="AI332" s="80"/>
      <c r="AJ332" s="80"/>
      <c r="AK332" s="80"/>
      <c r="AL332" s="80"/>
      <c r="AM332" s="80"/>
      <c r="AN332" s="2"/>
      <c r="AO332" s="2"/>
    </row>
    <row r="333" spans="1:41" ht="12.75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93"/>
      <c r="Q333" s="93"/>
      <c r="R333" s="93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  <c r="AH333" s="80"/>
      <c r="AI333" s="80"/>
      <c r="AJ333" s="80"/>
      <c r="AK333" s="80"/>
      <c r="AL333" s="80"/>
      <c r="AM333" s="80"/>
      <c r="AN333" s="2"/>
      <c r="AO333" s="2"/>
    </row>
    <row r="334" spans="1:41" ht="12.75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93"/>
      <c r="Q334" s="93"/>
      <c r="R334" s="93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  <c r="AG334" s="80"/>
      <c r="AH334" s="80"/>
      <c r="AI334" s="80"/>
      <c r="AJ334" s="80"/>
      <c r="AK334" s="80"/>
      <c r="AL334" s="80"/>
      <c r="AM334" s="80"/>
      <c r="AN334" s="2"/>
      <c r="AO334" s="2"/>
    </row>
    <row r="335" spans="1:41" ht="12.75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93"/>
      <c r="Q335" s="93"/>
      <c r="R335" s="93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  <c r="AG335" s="80"/>
      <c r="AH335" s="80"/>
      <c r="AI335" s="80"/>
      <c r="AJ335" s="80"/>
      <c r="AK335" s="80"/>
      <c r="AL335" s="80"/>
      <c r="AM335" s="80"/>
      <c r="AN335" s="2"/>
      <c r="AO335" s="2"/>
    </row>
    <row r="336" spans="1:41" ht="12.75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93"/>
      <c r="Q336" s="93"/>
      <c r="R336" s="93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  <c r="AF336" s="80"/>
      <c r="AG336" s="80"/>
      <c r="AH336" s="80"/>
      <c r="AI336" s="80"/>
      <c r="AJ336" s="80"/>
      <c r="AK336" s="80"/>
      <c r="AL336" s="80"/>
      <c r="AM336" s="80"/>
      <c r="AN336" s="2"/>
      <c r="AO336" s="2"/>
    </row>
    <row r="337" spans="1:41" ht="12.75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93"/>
      <c r="Q337" s="93"/>
      <c r="R337" s="93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  <c r="AG337" s="80"/>
      <c r="AH337" s="80"/>
      <c r="AI337" s="80"/>
      <c r="AJ337" s="80"/>
      <c r="AK337" s="80"/>
      <c r="AL337" s="80"/>
      <c r="AM337" s="80"/>
      <c r="AN337" s="2"/>
      <c r="AO337" s="2"/>
    </row>
    <row r="338" spans="1:41" ht="12.75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93"/>
      <c r="Q338" s="93"/>
      <c r="R338" s="93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  <c r="AF338" s="80"/>
      <c r="AG338" s="80"/>
      <c r="AH338" s="80"/>
      <c r="AI338" s="80"/>
      <c r="AJ338" s="80"/>
      <c r="AK338" s="80"/>
      <c r="AL338" s="80"/>
      <c r="AM338" s="80"/>
      <c r="AN338" s="2"/>
      <c r="AO338" s="2"/>
    </row>
    <row r="339" spans="1:41" ht="12.75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93"/>
      <c r="Q339" s="93"/>
      <c r="R339" s="93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  <c r="AF339" s="80"/>
      <c r="AG339" s="80"/>
      <c r="AH339" s="80"/>
      <c r="AI339" s="80"/>
      <c r="AJ339" s="80"/>
      <c r="AK339" s="80"/>
      <c r="AL339" s="80"/>
      <c r="AM339" s="80"/>
      <c r="AN339" s="2"/>
      <c r="AO339" s="2"/>
    </row>
    <row r="340" spans="1:41" ht="12.75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93"/>
      <c r="Q340" s="93"/>
      <c r="R340" s="93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  <c r="AE340" s="80"/>
      <c r="AF340" s="80"/>
      <c r="AG340" s="80"/>
      <c r="AH340" s="80"/>
      <c r="AI340" s="80"/>
      <c r="AJ340" s="80"/>
      <c r="AK340" s="80"/>
      <c r="AL340" s="80"/>
      <c r="AM340" s="80"/>
      <c r="AN340" s="2"/>
      <c r="AO340" s="2"/>
    </row>
    <row r="341" spans="1:41" ht="12.75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93"/>
      <c r="Q341" s="93"/>
      <c r="R341" s="93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  <c r="AE341" s="80"/>
      <c r="AF341" s="80"/>
      <c r="AG341" s="80"/>
      <c r="AH341" s="80"/>
      <c r="AI341" s="80"/>
      <c r="AJ341" s="80"/>
      <c r="AK341" s="80"/>
      <c r="AL341" s="80"/>
      <c r="AM341" s="80"/>
      <c r="AN341" s="2"/>
      <c r="AO341" s="2"/>
    </row>
    <row r="342" spans="1:41" ht="12.75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93"/>
      <c r="Q342" s="93"/>
      <c r="R342" s="93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  <c r="AF342" s="80"/>
      <c r="AG342" s="80"/>
      <c r="AH342" s="80"/>
      <c r="AI342" s="80"/>
      <c r="AJ342" s="80"/>
      <c r="AK342" s="80"/>
      <c r="AL342" s="80"/>
      <c r="AM342" s="80"/>
      <c r="AN342" s="2"/>
      <c r="AO342" s="2"/>
    </row>
    <row r="343" spans="1:41" ht="12.75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93"/>
      <c r="Q343" s="93"/>
      <c r="R343" s="93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/>
      <c r="AF343" s="80"/>
      <c r="AG343" s="80"/>
      <c r="AH343" s="80"/>
      <c r="AI343" s="80"/>
      <c r="AJ343" s="80"/>
      <c r="AK343" s="80"/>
      <c r="AL343" s="80"/>
      <c r="AM343" s="80"/>
      <c r="AN343" s="2"/>
      <c r="AO343" s="2"/>
    </row>
    <row r="344" spans="1:41" ht="12.75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93"/>
      <c r="Q344" s="93"/>
      <c r="R344" s="93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  <c r="AE344" s="80"/>
      <c r="AF344" s="80"/>
      <c r="AG344" s="80"/>
      <c r="AH344" s="80"/>
      <c r="AI344" s="80"/>
      <c r="AJ344" s="80"/>
      <c r="AK344" s="80"/>
      <c r="AL344" s="80"/>
      <c r="AM344" s="80"/>
      <c r="AN344" s="2"/>
      <c r="AO344" s="2"/>
    </row>
    <row r="345" spans="1:41" ht="12.75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93"/>
      <c r="Q345" s="93"/>
      <c r="R345" s="93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  <c r="AD345" s="80"/>
      <c r="AE345" s="80"/>
      <c r="AF345" s="80"/>
      <c r="AG345" s="80"/>
      <c r="AH345" s="80"/>
      <c r="AI345" s="80"/>
      <c r="AJ345" s="80"/>
      <c r="AK345" s="80"/>
      <c r="AL345" s="80"/>
      <c r="AM345" s="80"/>
      <c r="AN345" s="2"/>
      <c r="AO345" s="2"/>
    </row>
    <row r="346" spans="1:41" ht="12.75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93"/>
      <c r="Q346" s="93"/>
      <c r="R346" s="93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  <c r="AE346" s="80"/>
      <c r="AF346" s="80"/>
      <c r="AG346" s="80"/>
      <c r="AH346" s="80"/>
      <c r="AI346" s="80"/>
      <c r="AJ346" s="80"/>
      <c r="AK346" s="80"/>
      <c r="AL346" s="80"/>
      <c r="AM346" s="80"/>
      <c r="AN346" s="2"/>
      <c r="AO346" s="2"/>
    </row>
    <row r="347" spans="1:41" ht="12.75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93"/>
      <c r="Q347" s="93"/>
      <c r="R347" s="93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  <c r="AD347" s="80"/>
      <c r="AE347" s="80"/>
      <c r="AF347" s="80"/>
      <c r="AG347" s="80"/>
      <c r="AH347" s="80"/>
      <c r="AI347" s="80"/>
      <c r="AJ347" s="80"/>
      <c r="AK347" s="80"/>
      <c r="AL347" s="80"/>
      <c r="AM347" s="80"/>
      <c r="AN347" s="2"/>
      <c r="AO347" s="2"/>
    </row>
    <row r="348" spans="1:41" ht="12.75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93"/>
      <c r="Q348" s="93"/>
      <c r="R348" s="93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  <c r="AD348" s="80"/>
      <c r="AE348" s="80"/>
      <c r="AF348" s="80"/>
      <c r="AG348" s="80"/>
      <c r="AH348" s="80"/>
      <c r="AI348" s="80"/>
      <c r="AJ348" s="80"/>
      <c r="AK348" s="80"/>
      <c r="AL348" s="80"/>
      <c r="AM348" s="80"/>
      <c r="AN348" s="2"/>
      <c r="AO348" s="2"/>
    </row>
    <row r="349" spans="1:41" ht="12.75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93"/>
      <c r="Q349" s="93"/>
      <c r="R349" s="93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  <c r="AD349" s="80"/>
      <c r="AE349" s="80"/>
      <c r="AF349" s="80"/>
      <c r="AG349" s="80"/>
      <c r="AH349" s="80"/>
      <c r="AI349" s="80"/>
      <c r="AJ349" s="80"/>
      <c r="AK349" s="80"/>
      <c r="AL349" s="80"/>
      <c r="AM349" s="80"/>
      <c r="AN349" s="2"/>
      <c r="AO349" s="2"/>
    </row>
    <row r="350" spans="1:41" ht="12.75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93"/>
      <c r="Q350" s="93"/>
      <c r="R350" s="93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/>
      <c r="AF350" s="80"/>
      <c r="AG350" s="80"/>
      <c r="AH350" s="80"/>
      <c r="AI350" s="80"/>
      <c r="AJ350" s="80"/>
      <c r="AK350" s="80"/>
      <c r="AL350" s="80"/>
      <c r="AM350" s="80"/>
      <c r="AN350" s="2"/>
      <c r="AO350" s="2"/>
    </row>
    <row r="351" spans="1:41" ht="12.75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93"/>
      <c r="Q351" s="93"/>
      <c r="R351" s="93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  <c r="AF351" s="80"/>
      <c r="AG351" s="80"/>
      <c r="AH351" s="80"/>
      <c r="AI351" s="80"/>
      <c r="AJ351" s="80"/>
      <c r="AK351" s="80"/>
      <c r="AL351" s="80"/>
      <c r="AM351" s="80"/>
      <c r="AN351" s="2"/>
      <c r="AO351" s="2"/>
    </row>
    <row r="352" spans="1:41" ht="12.75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93"/>
      <c r="Q352" s="93"/>
      <c r="R352" s="93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  <c r="AD352" s="80"/>
      <c r="AE352" s="80"/>
      <c r="AF352" s="80"/>
      <c r="AG352" s="80"/>
      <c r="AH352" s="80"/>
      <c r="AI352" s="80"/>
      <c r="AJ352" s="80"/>
      <c r="AK352" s="80"/>
      <c r="AL352" s="80"/>
      <c r="AM352" s="80"/>
      <c r="AN352" s="2"/>
      <c r="AO352" s="2"/>
    </row>
    <row r="353" spans="1:41" ht="12.75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93"/>
      <c r="Q353" s="93"/>
      <c r="R353" s="93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  <c r="AD353" s="80"/>
      <c r="AE353" s="80"/>
      <c r="AF353" s="80"/>
      <c r="AG353" s="80"/>
      <c r="AH353" s="80"/>
      <c r="AI353" s="80"/>
      <c r="AJ353" s="80"/>
      <c r="AK353" s="80"/>
      <c r="AL353" s="80"/>
      <c r="AM353" s="80"/>
      <c r="AN353" s="2"/>
      <c r="AO353" s="2"/>
    </row>
    <row r="354" spans="1:41" ht="12.75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93"/>
      <c r="Q354" s="93"/>
      <c r="R354" s="93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  <c r="AE354" s="80"/>
      <c r="AF354" s="80"/>
      <c r="AG354" s="80"/>
      <c r="AH354" s="80"/>
      <c r="AI354" s="80"/>
      <c r="AJ354" s="80"/>
      <c r="AK354" s="80"/>
      <c r="AL354" s="80"/>
      <c r="AM354" s="80"/>
      <c r="AN354" s="2"/>
      <c r="AO354" s="2"/>
    </row>
    <row r="355" spans="1:41" ht="12.75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93"/>
      <c r="Q355" s="93"/>
      <c r="R355" s="93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  <c r="AE355" s="80"/>
      <c r="AF355" s="80"/>
      <c r="AG355" s="80"/>
      <c r="AH355" s="80"/>
      <c r="AI355" s="80"/>
      <c r="AJ355" s="80"/>
      <c r="AK355" s="80"/>
      <c r="AL355" s="80"/>
      <c r="AM355" s="80"/>
      <c r="AN355" s="2"/>
      <c r="AO355" s="2"/>
    </row>
    <row r="356" spans="1:41" ht="12.75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93"/>
      <c r="Q356" s="93"/>
      <c r="R356" s="93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  <c r="AD356" s="80"/>
      <c r="AE356" s="80"/>
      <c r="AF356" s="80"/>
      <c r="AG356" s="80"/>
      <c r="AH356" s="80"/>
      <c r="AI356" s="80"/>
      <c r="AJ356" s="80"/>
      <c r="AK356" s="80"/>
      <c r="AL356" s="80"/>
      <c r="AM356" s="80"/>
      <c r="AN356" s="2"/>
      <c r="AO356" s="2"/>
    </row>
    <row r="357" spans="1:41" ht="12.75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93"/>
      <c r="Q357" s="93"/>
      <c r="R357" s="93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  <c r="AE357" s="80"/>
      <c r="AF357" s="80"/>
      <c r="AG357" s="80"/>
      <c r="AH357" s="80"/>
      <c r="AI357" s="80"/>
      <c r="AJ357" s="80"/>
      <c r="AK357" s="80"/>
      <c r="AL357" s="80"/>
      <c r="AM357" s="80"/>
      <c r="AN357" s="2"/>
      <c r="AO357" s="2"/>
    </row>
    <row r="358" spans="1:41" ht="12.75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93"/>
      <c r="Q358" s="93"/>
      <c r="R358" s="93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  <c r="AF358" s="80"/>
      <c r="AG358" s="80"/>
      <c r="AH358" s="80"/>
      <c r="AI358" s="80"/>
      <c r="AJ358" s="80"/>
      <c r="AK358" s="80"/>
      <c r="AL358" s="80"/>
      <c r="AM358" s="80"/>
      <c r="AN358" s="2"/>
      <c r="AO358" s="2"/>
    </row>
    <row r="359" spans="1:41" ht="12.75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93"/>
      <c r="Q359" s="93"/>
      <c r="R359" s="93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  <c r="AD359" s="80"/>
      <c r="AE359" s="80"/>
      <c r="AF359" s="80"/>
      <c r="AG359" s="80"/>
      <c r="AH359" s="80"/>
      <c r="AI359" s="80"/>
      <c r="AJ359" s="80"/>
      <c r="AK359" s="80"/>
      <c r="AL359" s="80"/>
      <c r="AM359" s="80"/>
      <c r="AN359" s="2"/>
      <c r="AO359" s="2"/>
    </row>
    <row r="360" spans="1:41" ht="12.75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93"/>
      <c r="Q360" s="93"/>
      <c r="R360" s="93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  <c r="AE360" s="80"/>
      <c r="AF360" s="80"/>
      <c r="AG360" s="80"/>
      <c r="AH360" s="80"/>
      <c r="AI360" s="80"/>
      <c r="AJ360" s="80"/>
      <c r="AK360" s="80"/>
      <c r="AL360" s="80"/>
      <c r="AM360" s="80"/>
      <c r="AN360" s="2"/>
      <c r="AO360" s="2"/>
    </row>
    <row r="361" spans="1:41" ht="12.75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93"/>
      <c r="Q361" s="93"/>
      <c r="R361" s="93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  <c r="AD361" s="80"/>
      <c r="AE361" s="80"/>
      <c r="AF361" s="80"/>
      <c r="AG361" s="80"/>
      <c r="AH361" s="80"/>
      <c r="AI361" s="80"/>
      <c r="AJ361" s="80"/>
      <c r="AK361" s="80"/>
      <c r="AL361" s="80"/>
      <c r="AM361" s="80"/>
      <c r="AN361" s="2"/>
      <c r="AO361" s="2"/>
    </row>
    <row r="362" spans="1:41" ht="12.75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93"/>
      <c r="Q362" s="93"/>
      <c r="R362" s="93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  <c r="AE362" s="80"/>
      <c r="AF362" s="80"/>
      <c r="AG362" s="80"/>
      <c r="AH362" s="80"/>
      <c r="AI362" s="80"/>
      <c r="AJ362" s="80"/>
      <c r="AK362" s="80"/>
      <c r="AL362" s="80"/>
      <c r="AM362" s="80"/>
      <c r="AN362" s="2"/>
      <c r="AO362" s="2"/>
    </row>
    <row r="363" spans="1:41" ht="12.75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93"/>
      <c r="Q363" s="93"/>
      <c r="R363" s="93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2"/>
      <c r="AO363" s="2"/>
    </row>
    <row r="364" spans="1:41" ht="12.75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93"/>
      <c r="Q364" s="93"/>
      <c r="R364" s="93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  <c r="AE364" s="80"/>
      <c r="AF364" s="80"/>
      <c r="AG364" s="80"/>
      <c r="AH364" s="80"/>
      <c r="AI364" s="80"/>
      <c r="AJ364" s="80"/>
      <c r="AK364" s="80"/>
      <c r="AL364" s="80"/>
      <c r="AM364" s="80"/>
      <c r="AN364" s="2"/>
      <c r="AO364" s="2"/>
    </row>
    <row r="365" spans="1:41" ht="12.75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93"/>
      <c r="Q365" s="93"/>
      <c r="R365" s="93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  <c r="AF365" s="80"/>
      <c r="AG365" s="80"/>
      <c r="AH365" s="80"/>
      <c r="AI365" s="80"/>
      <c r="AJ365" s="80"/>
      <c r="AK365" s="80"/>
      <c r="AL365" s="80"/>
      <c r="AM365" s="80"/>
      <c r="AN365" s="2"/>
      <c r="AO365" s="2"/>
    </row>
    <row r="366" spans="1:41" ht="12.75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93"/>
      <c r="Q366" s="93"/>
      <c r="R366" s="93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  <c r="AF366" s="80"/>
      <c r="AG366" s="80"/>
      <c r="AH366" s="80"/>
      <c r="AI366" s="80"/>
      <c r="AJ366" s="80"/>
      <c r="AK366" s="80"/>
      <c r="AL366" s="80"/>
      <c r="AM366" s="80"/>
      <c r="AN366" s="2"/>
      <c r="AO366" s="2"/>
    </row>
    <row r="367" spans="1:41" ht="12.75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93"/>
      <c r="Q367" s="93"/>
      <c r="R367" s="93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  <c r="AE367" s="80"/>
      <c r="AF367" s="80"/>
      <c r="AG367" s="80"/>
      <c r="AH367" s="80"/>
      <c r="AI367" s="80"/>
      <c r="AJ367" s="80"/>
      <c r="AK367" s="80"/>
      <c r="AL367" s="80"/>
      <c r="AM367" s="80"/>
      <c r="AN367" s="2"/>
      <c r="AO367" s="2"/>
    </row>
    <row r="368" spans="1:41" ht="12.75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93"/>
      <c r="Q368" s="93"/>
      <c r="R368" s="93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  <c r="AE368" s="80"/>
      <c r="AF368" s="80"/>
      <c r="AG368" s="80"/>
      <c r="AH368" s="80"/>
      <c r="AI368" s="80"/>
      <c r="AJ368" s="80"/>
      <c r="AK368" s="80"/>
      <c r="AL368" s="80"/>
      <c r="AM368" s="80"/>
      <c r="AN368" s="2"/>
      <c r="AO368" s="2"/>
    </row>
    <row r="369" spans="1:41" ht="12.75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93"/>
      <c r="Q369" s="93"/>
      <c r="R369" s="93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  <c r="AE369" s="80"/>
      <c r="AF369" s="80"/>
      <c r="AG369" s="80"/>
      <c r="AH369" s="80"/>
      <c r="AI369" s="80"/>
      <c r="AJ369" s="80"/>
      <c r="AK369" s="80"/>
      <c r="AL369" s="80"/>
      <c r="AM369" s="80"/>
      <c r="AN369" s="2"/>
      <c r="AO369" s="2"/>
    </row>
    <row r="370" spans="1:41" ht="12.75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93"/>
      <c r="Q370" s="93"/>
      <c r="R370" s="93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  <c r="AG370" s="80"/>
      <c r="AH370" s="80"/>
      <c r="AI370" s="80"/>
      <c r="AJ370" s="80"/>
      <c r="AK370" s="80"/>
      <c r="AL370" s="80"/>
      <c r="AM370" s="80"/>
      <c r="AN370" s="2"/>
      <c r="AO370" s="2"/>
    </row>
    <row r="371" spans="1:41" ht="12.75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93"/>
      <c r="Q371" s="93"/>
      <c r="R371" s="93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  <c r="AF371" s="80"/>
      <c r="AG371" s="80"/>
      <c r="AH371" s="80"/>
      <c r="AI371" s="80"/>
      <c r="AJ371" s="80"/>
      <c r="AK371" s="80"/>
      <c r="AL371" s="80"/>
      <c r="AM371" s="80"/>
      <c r="AN371" s="2"/>
      <c r="AO371" s="2"/>
    </row>
    <row r="372" spans="1:41" ht="12.75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93"/>
      <c r="Q372" s="93"/>
      <c r="R372" s="93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  <c r="AE372" s="80"/>
      <c r="AF372" s="80"/>
      <c r="AG372" s="80"/>
      <c r="AH372" s="80"/>
      <c r="AI372" s="80"/>
      <c r="AJ372" s="80"/>
      <c r="AK372" s="80"/>
      <c r="AL372" s="80"/>
      <c r="AM372" s="80"/>
      <c r="AN372" s="2"/>
      <c r="AO372" s="2"/>
    </row>
    <row r="373" spans="1:41" ht="12.75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93"/>
      <c r="Q373" s="93"/>
      <c r="R373" s="93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/>
      <c r="AF373" s="80"/>
      <c r="AG373" s="80"/>
      <c r="AH373" s="80"/>
      <c r="AI373" s="80"/>
      <c r="AJ373" s="80"/>
      <c r="AK373" s="80"/>
      <c r="AL373" s="80"/>
      <c r="AM373" s="80"/>
      <c r="AN373" s="2"/>
      <c r="AO373" s="2"/>
    </row>
    <row r="374" spans="1:41" ht="12.75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93"/>
      <c r="Q374" s="93"/>
      <c r="R374" s="93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  <c r="AH374" s="80"/>
      <c r="AI374" s="80"/>
      <c r="AJ374" s="80"/>
      <c r="AK374" s="80"/>
      <c r="AL374" s="80"/>
      <c r="AM374" s="80"/>
      <c r="AN374" s="2"/>
      <c r="AO374" s="2"/>
    </row>
    <row r="375" spans="1:41" ht="12.75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93"/>
      <c r="Q375" s="93"/>
      <c r="R375" s="93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  <c r="AG375" s="80"/>
      <c r="AH375" s="80"/>
      <c r="AI375" s="80"/>
      <c r="AJ375" s="80"/>
      <c r="AK375" s="80"/>
      <c r="AL375" s="80"/>
      <c r="AM375" s="80"/>
      <c r="AN375" s="2"/>
      <c r="AO375" s="2"/>
    </row>
    <row r="376" spans="1:41" ht="12.75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93"/>
      <c r="Q376" s="93"/>
      <c r="R376" s="93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  <c r="AE376" s="80"/>
      <c r="AF376" s="80"/>
      <c r="AG376" s="80"/>
      <c r="AH376" s="80"/>
      <c r="AI376" s="80"/>
      <c r="AJ376" s="80"/>
      <c r="AK376" s="80"/>
      <c r="AL376" s="80"/>
      <c r="AM376" s="80"/>
      <c r="AN376" s="2"/>
      <c r="AO376" s="2"/>
    </row>
    <row r="377" spans="1:41" ht="12.75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93"/>
      <c r="Q377" s="93"/>
      <c r="R377" s="93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  <c r="AH377" s="80"/>
      <c r="AI377" s="80"/>
      <c r="AJ377" s="80"/>
      <c r="AK377" s="80"/>
      <c r="AL377" s="80"/>
      <c r="AM377" s="80"/>
      <c r="AN377" s="2"/>
      <c r="AO377" s="2"/>
    </row>
    <row r="378" spans="1:41" ht="12.75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93"/>
      <c r="Q378" s="93"/>
      <c r="R378" s="93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  <c r="AG378" s="80"/>
      <c r="AH378" s="80"/>
      <c r="AI378" s="80"/>
      <c r="AJ378" s="80"/>
      <c r="AK378" s="80"/>
      <c r="AL378" s="80"/>
      <c r="AM378" s="80"/>
      <c r="AN378" s="2"/>
      <c r="AO378" s="2"/>
    </row>
    <row r="379" spans="1:41" ht="12.75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93"/>
      <c r="Q379" s="93"/>
      <c r="R379" s="93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  <c r="AD379" s="80"/>
      <c r="AE379" s="80"/>
      <c r="AF379" s="80"/>
      <c r="AG379" s="80"/>
      <c r="AH379" s="80"/>
      <c r="AI379" s="80"/>
      <c r="AJ379" s="80"/>
      <c r="AK379" s="80"/>
      <c r="AL379" s="80"/>
      <c r="AM379" s="80"/>
      <c r="AN379" s="2"/>
      <c r="AO379" s="2"/>
    </row>
    <row r="380" spans="1:41" ht="12.75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93"/>
      <c r="Q380" s="93"/>
      <c r="R380" s="93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  <c r="AE380" s="80"/>
      <c r="AF380" s="80"/>
      <c r="AG380" s="80"/>
      <c r="AH380" s="80"/>
      <c r="AI380" s="80"/>
      <c r="AJ380" s="80"/>
      <c r="AK380" s="80"/>
      <c r="AL380" s="80"/>
      <c r="AM380" s="80"/>
      <c r="AN380" s="2"/>
      <c r="AO380" s="2"/>
    </row>
    <row r="381" spans="1:41" ht="12.75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93"/>
      <c r="Q381" s="93"/>
      <c r="R381" s="93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  <c r="AE381" s="80"/>
      <c r="AF381" s="80"/>
      <c r="AG381" s="80"/>
      <c r="AH381" s="80"/>
      <c r="AI381" s="80"/>
      <c r="AJ381" s="80"/>
      <c r="AK381" s="80"/>
      <c r="AL381" s="80"/>
      <c r="AM381" s="80"/>
      <c r="AN381" s="2"/>
      <c r="AO381" s="2"/>
    </row>
    <row r="382" spans="1:41" ht="12.75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93"/>
      <c r="Q382" s="93"/>
      <c r="R382" s="93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/>
      <c r="AF382" s="80"/>
      <c r="AG382" s="80"/>
      <c r="AH382" s="80"/>
      <c r="AI382" s="80"/>
      <c r="AJ382" s="80"/>
      <c r="AK382" s="80"/>
      <c r="AL382" s="80"/>
      <c r="AM382" s="80"/>
      <c r="AN382" s="2"/>
      <c r="AO382" s="2"/>
    </row>
    <row r="383" spans="1:41" ht="12.75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93"/>
      <c r="Q383" s="93"/>
      <c r="R383" s="93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  <c r="AE383" s="80"/>
      <c r="AF383" s="80"/>
      <c r="AG383" s="80"/>
      <c r="AH383" s="80"/>
      <c r="AI383" s="80"/>
      <c r="AJ383" s="80"/>
      <c r="AK383" s="80"/>
      <c r="AL383" s="80"/>
      <c r="AM383" s="80"/>
      <c r="AN383" s="2"/>
      <c r="AO383" s="2"/>
    </row>
    <row r="384" spans="1:41" ht="12.75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93"/>
      <c r="Q384" s="93"/>
      <c r="R384" s="93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  <c r="AE384" s="80"/>
      <c r="AF384" s="80"/>
      <c r="AG384" s="80"/>
      <c r="AH384" s="80"/>
      <c r="AI384" s="80"/>
      <c r="AJ384" s="80"/>
      <c r="AK384" s="80"/>
      <c r="AL384" s="80"/>
      <c r="AM384" s="80"/>
      <c r="AN384" s="2"/>
      <c r="AO384" s="2"/>
    </row>
    <row r="385" spans="1:41" ht="12.75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93"/>
      <c r="Q385" s="93"/>
      <c r="R385" s="93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  <c r="AD385" s="80"/>
      <c r="AE385" s="80"/>
      <c r="AF385" s="80"/>
      <c r="AG385" s="80"/>
      <c r="AH385" s="80"/>
      <c r="AI385" s="80"/>
      <c r="AJ385" s="80"/>
      <c r="AK385" s="80"/>
      <c r="AL385" s="80"/>
      <c r="AM385" s="80"/>
      <c r="AN385" s="2"/>
      <c r="AO385" s="2"/>
    </row>
    <row r="386" spans="1:41" ht="12.75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93"/>
      <c r="Q386" s="93"/>
      <c r="R386" s="93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  <c r="AE386" s="80"/>
      <c r="AF386" s="80"/>
      <c r="AG386" s="80"/>
      <c r="AH386" s="80"/>
      <c r="AI386" s="80"/>
      <c r="AJ386" s="80"/>
      <c r="AK386" s="80"/>
      <c r="AL386" s="80"/>
      <c r="AM386" s="80"/>
      <c r="AN386" s="2"/>
      <c r="AO386" s="2"/>
    </row>
    <row r="387" spans="1:41" ht="12.75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93"/>
      <c r="Q387" s="93"/>
      <c r="R387" s="93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  <c r="AD387" s="80"/>
      <c r="AE387" s="80"/>
      <c r="AF387" s="80"/>
      <c r="AG387" s="80"/>
      <c r="AH387" s="80"/>
      <c r="AI387" s="80"/>
      <c r="AJ387" s="80"/>
      <c r="AK387" s="80"/>
      <c r="AL387" s="80"/>
      <c r="AM387" s="80"/>
      <c r="AN387" s="2"/>
      <c r="AO387" s="2"/>
    </row>
    <row r="388" spans="1:41" ht="12.75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93"/>
      <c r="Q388" s="93"/>
      <c r="R388" s="93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  <c r="AH388" s="80"/>
      <c r="AI388" s="80"/>
      <c r="AJ388" s="80"/>
      <c r="AK388" s="80"/>
      <c r="AL388" s="80"/>
      <c r="AM388" s="80"/>
      <c r="AN388" s="2"/>
      <c r="AO388" s="2"/>
    </row>
    <row r="389" spans="1:41" ht="12.75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93"/>
      <c r="Q389" s="93"/>
      <c r="R389" s="93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  <c r="AD389" s="80"/>
      <c r="AE389" s="80"/>
      <c r="AF389" s="80"/>
      <c r="AG389" s="80"/>
      <c r="AH389" s="80"/>
      <c r="AI389" s="80"/>
      <c r="AJ389" s="80"/>
      <c r="AK389" s="80"/>
      <c r="AL389" s="80"/>
      <c r="AM389" s="80"/>
      <c r="AN389" s="2"/>
      <c r="AO389" s="2"/>
    </row>
    <row r="390" spans="1:41" ht="12.75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93"/>
      <c r="Q390" s="93"/>
      <c r="R390" s="93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  <c r="AF390" s="80"/>
      <c r="AG390" s="80"/>
      <c r="AH390" s="80"/>
      <c r="AI390" s="80"/>
      <c r="AJ390" s="80"/>
      <c r="AK390" s="80"/>
      <c r="AL390" s="80"/>
      <c r="AM390" s="80"/>
      <c r="AN390" s="2"/>
      <c r="AO390" s="2"/>
    </row>
    <row r="391" spans="1:41" ht="12.75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93"/>
      <c r="Q391" s="93"/>
      <c r="R391" s="93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  <c r="AD391" s="80"/>
      <c r="AE391" s="80"/>
      <c r="AF391" s="80"/>
      <c r="AG391" s="80"/>
      <c r="AH391" s="80"/>
      <c r="AI391" s="80"/>
      <c r="AJ391" s="80"/>
      <c r="AK391" s="80"/>
      <c r="AL391" s="80"/>
      <c r="AM391" s="80"/>
      <c r="AN391" s="2"/>
      <c r="AO391" s="2"/>
    </row>
    <row r="392" spans="1:41" ht="12.75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93"/>
      <c r="Q392" s="93"/>
      <c r="R392" s="93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  <c r="AD392" s="80"/>
      <c r="AE392" s="80"/>
      <c r="AF392" s="80"/>
      <c r="AG392" s="80"/>
      <c r="AH392" s="80"/>
      <c r="AI392" s="80"/>
      <c r="AJ392" s="80"/>
      <c r="AK392" s="80"/>
      <c r="AL392" s="80"/>
      <c r="AM392" s="80"/>
      <c r="AN392" s="2"/>
      <c r="AO392" s="2"/>
    </row>
    <row r="393" spans="1:41" ht="12.75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93"/>
      <c r="Q393" s="93"/>
      <c r="R393" s="93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  <c r="AE393" s="80"/>
      <c r="AF393" s="80"/>
      <c r="AG393" s="80"/>
      <c r="AH393" s="80"/>
      <c r="AI393" s="80"/>
      <c r="AJ393" s="80"/>
      <c r="AK393" s="80"/>
      <c r="AL393" s="80"/>
      <c r="AM393" s="80"/>
      <c r="AN393" s="2"/>
      <c r="AO393" s="2"/>
    </row>
    <row r="394" spans="1:41" ht="12.75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93"/>
      <c r="Q394" s="93"/>
      <c r="R394" s="93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  <c r="AE394" s="80"/>
      <c r="AF394" s="80"/>
      <c r="AG394" s="80"/>
      <c r="AH394" s="80"/>
      <c r="AI394" s="80"/>
      <c r="AJ394" s="80"/>
      <c r="AK394" s="80"/>
      <c r="AL394" s="80"/>
      <c r="AM394" s="80"/>
      <c r="AN394" s="2"/>
      <c r="AO394" s="2"/>
    </row>
    <row r="395" spans="1:41" ht="12.75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93"/>
      <c r="Q395" s="93"/>
      <c r="R395" s="93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  <c r="AE395" s="80"/>
      <c r="AF395" s="80"/>
      <c r="AG395" s="80"/>
      <c r="AH395" s="80"/>
      <c r="AI395" s="80"/>
      <c r="AJ395" s="80"/>
      <c r="AK395" s="80"/>
      <c r="AL395" s="80"/>
      <c r="AM395" s="80"/>
      <c r="AN395" s="2"/>
      <c r="AO395" s="2"/>
    </row>
    <row r="396" spans="1:41" ht="12.75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93"/>
      <c r="Q396" s="93"/>
      <c r="R396" s="93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  <c r="AE396" s="80"/>
      <c r="AF396" s="80"/>
      <c r="AG396" s="80"/>
      <c r="AH396" s="80"/>
      <c r="AI396" s="80"/>
      <c r="AJ396" s="80"/>
      <c r="AK396" s="80"/>
      <c r="AL396" s="80"/>
      <c r="AM396" s="80"/>
      <c r="AN396" s="2"/>
      <c r="AO396" s="2"/>
    </row>
    <row r="397" spans="1:41" ht="12.75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93"/>
      <c r="Q397" s="93"/>
      <c r="R397" s="93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80"/>
      <c r="AF397" s="80"/>
      <c r="AG397" s="80"/>
      <c r="AH397" s="80"/>
      <c r="AI397" s="80"/>
      <c r="AJ397" s="80"/>
      <c r="AK397" s="80"/>
      <c r="AL397" s="80"/>
      <c r="AM397" s="80"/>
      <c r="AN397" s="2"/>
      <c r="AO397" s="2"/>
    </row>
    <row r="398" spans="1:41" ht="12.75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93"/>
      <c r="Q398" s="93"/>
      <c r="R398" s="93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  <c r="AE398" s="80"/>
      <c r="AF398" s="80"/>
      <c r="AG398" s="80"/>
      <c r="AH398" s="80"/>
      <c r="AI398" s="80"/>
      <c r="AJ398" s="80"/>
      <c r="AK398" s="80"/>
      <c r="AL398" s="80"/>
      <c r="AM398" s="80"/>
      <c r="AN398" s="2"/>
      <c r="AO398" s="2"/>
    </row>
    <row r="399" spans="1:41" ht="12.75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93"/>
      <c r="Q399" s="93"/>
      <c r="R399" s="93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  <c r="AE399" s="80"/>
      <c r="AF399" s="80"/>
      <c r="AG399" s="80"/>
      <c r="AH399" s="80"/>
      <c r="AI399" s="80"/>
      <c r="AJ399" s="80"/>
      <c r="AK399" s="80"/>
      <c r="AL399" s="80"/>
      <c r="AM399" s="80"/>
      <c r="AN399" s="2"/>
      <c r="AO399" s="2"/>
    </row>
    <row r="400" spans="1:41" ht="12.75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93"/>
      <c r="Q400" s="93"/>
      <c r="R400" s="93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  <c r="AE400" s="80"/>
      <c r="AF400" s="80"/>
      <c r="AG400" s="80"/>
      <c r="AH400" s="80"/>
      <c r="AI400" s="80"/>
      <c r="AJ400" s="80"/>
      <c r="AK400" s="80"/>
      <c r="AL400" s="80"/>
      <c r="AM400" s="80"/>
      <c r="AN400" s="2"/>
      <c r="AO400" s="2"/>
    </row>
    <row r="401" spans="1:41" ht="12.75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93"/>
      <c r="Q401" s="93"/>
      <c r="R401" s="93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  <c r="AH401" s="80"/>
      <c r="AI401" s="80"/>
      <c r="AJ401" s="80"/>
      <c r="AK401" s="80"/>
      <c r="AL401" s="80"/>
      <c r="AM401" s="80"/>
      <c r="AN401" s="2"/>
      <c r="AO401" s="2"/>
    </row>
    <row r="402" spans="1:41" ht="12.75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93"/>
      <c r="Q402" s="93"/>
      <c r="R402" s="93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  <c r="AE402" s="80"/>
      <c r="AF402" s="80"/>
      <c r="AG402" s="80"/>
      <c r="AH402" s="80"/>
      <c r="AI402" s="80"/>
      <c r="AJ402" s="80"/>
      <c r="AK402" s="80"/>
      <c r="AL402" s="80"/>
      <c r="AM402" s="80"/>
      <c r="AN402" s="2"/>
      <c r="AO402" s="2"/>
    </row>
    <row r="403" spans="1:41" ht="12.75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93"/>
      <c r="Q403" s="93"/>
      <c r="R403" s="93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2"/>
      <c r="AO403" s="2"/>
    </row>
    <row r="404" spans="1:41" ht="12.75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93"/>
      <c r="Q404" s="93"/>
      <c r="R404" s="93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  <c r="AD404" s="80"/>
      <c r="AE404" s="80"/>
      <c r="AF404" s="80"/>
      <c r="AG404" s="80"/>
      <c r="AH404" s="80"/>
      <c r="AI404" s="80"/>
      <c r="AJ404" s="80"/>
      <c r="AK404" s="80"/>
      <c r="AL404" s="80"/>
      <c r="AM404" s="80"/>
      <c r="AN404" s="2"/>
      <c r="AO404" s="2"/>
    </row>
    <row r="405" spans="1:41" ht="12.75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93"/>
      <c r="Q405" s="93"/>
      <c r="R405" s="93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  <c r="AE405" s="80"/>
      <c r="AF405" s="80"/>
      <c r="AG405" s="80"/>
      <c r="AH405" s="80"/>
      <c r="AI405" s="80"/>
      <c r="AJ405" s="80"/>
      <c r="AK405" s="80"/>
      <c r="AL405" s="80"/>
      <c r="AM405" s="80"/>
      <c r="AN405" s="2"/>
      <c r="AO405" s="2"/>
    </row>
    <row r="406" spans="1:41" ht="12.75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93"/>
      <c r="Q406" s="93"/>
      <c r="R406" s="93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80"/>
      <c r="AG406" s="80"/>
      <c r="AH406" s="80"/>
      <c r="AI406" s="80"/>
      <c r="AJ406" s="80"/>
      <c r="AK406" s="80"/>
      <c r="AL406" s="80"/>
      <c r="AM406" s="80"/>
      <c r="AN406" s="2"/>
      <c r="AO406" s="2"/>
    </row>
    <row r="407" spans="1:41" ht="12.75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93"/>
      <c r="Q407" s="93"/>
      <c r="R407" s="93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  <c r="AD407" s="80"/>
      <c r="AE407" s="80"/>
      <c r="AF407" s="80"/>
      <c r="AG407" s="80"/>
      <c r="AH407" s="80"/>
      <c r="AI407" s="80"/>
      <c r="AJ407" s="80"/>
      <c r="AK407" s="80"/>
      <c r="AL407" s="80"/>
      <c r="AM407" s="80"/>
      <c r="AN407" s="2"/>
      <c r="AO407" s="2"/>
    </row>
    <row r="408" spans="1:41" ht="12.75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93"/>
      <c r="Q408" s="93"/>
      <c r="R408" s="93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  <c r="AE408" s="80"/>
      <c r="AF408" s="80"/>
      <c r="AG408" s="80"/>
      <c r="AH408" s="80"/>
      <c r="AI408" s="80"/>
      <c r="AJ408" s="80"/>
      <c r="AK408" s="80"/>
      <c r="AL408" s="80"/>
      <c r="AM408" s="80"/>
      <c r="AN408" s="2"/>
      <c r="AO408" s="2"/>
    </row>
    <row r="409" spans="1:41" ht="12.75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93"/>
      <c r="Q409" s="93"/>
      <c r="R409" s="93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/>
      <c r="AF409" s="80"/>
      <c r="AG409" s="80"/>
      <c r="AH409" s="80"/>
      <c r="AI409" s="80"/>
      <c r="AJ409" s="80"/>
      <c r="AK409" s="80"/>
      <c r="AL409" s="80"/>
      <c r="AM409" s="80"/>
      <c r="AN409" s="2"/>
      <c r="AO409" s="2"/>
    </row>
    <row r="410" spans="1:41" ht="12.75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93"/>
      <c r="Q410" s="93"/>
      <c r="R410" s="93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  <c r="AE410" s="80"/>
      <c r="AF410" s="80"/>
      <c r="AG410" s="80"/>
      <c r="AH410" s="80"/>
      <c r="AI410" s="80"/>
      <c r="AJ410" s="80"/>
      <c r="AK410" s="80"/>
      <c r="AL410" s="80"/>
      <c r="AM410" s="80"/>
      <c r="AN410" s="2"/>
      <c r="AO410" s="2"/>
    </row>
    <row r="411" spans="1:41" ht="12.75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93"/>
      <c r="Q411" s="93"/>
      <c r="R411" s="93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  <c r="AD411" s="80"/>
      <c r="AE411" s="80"/>
      <c r="AF411" s="80"/>
      <c r="AG411" s="80"/>
      <c r="AH411" s="80"/>
      <c r="AI411" s="80"/>
      <c r="AJ411" s="80"/>
      <c r="AK411" s="80"/>
      <c r="AL411" s="80"/>
      <c r="AM411" s="80"/>
      <c r="AN411" s="2"/>
      <c r="AO411" s="2"/>
    </row>
    <row r="412" spans="1:41" ht="12.75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93"/>
      <c r="Q412" s="93"/>
      <c r="R412" s="93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  <c r="AD412" s="80"/>
      <c r="AE412" s="80"/>
      <c r="AF412" s="80"/>
      <c r="AG412" s="80"/>
      <c r="AH412" s="80"/>
      <c r="AI412" s="80"/>
      <c r="AJ412" s="80"/>
      <c r="AK412" s="80"/>
      <c r="AL412" s="80"/>
      <c r="AM412" s="80"/>
      <c r="AN412" s="2"/>
      <c r="AO412" s="2"/>
    </row>
    <row r="413" spans="1:41" ht="12.75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93"/>
      <c r="Q413" s="93"/>
      <c r="R413" s="93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  <c r="AD413" s="80"/>
      <c r="AE413" s="80"/>
      <c r="AF413" s="80"/>
      <c r="AG413" s="80"/>
      <c r="AH413" s="80"/>
      <c r="AI413" s="80"/>
      <c r="AJ413" s="80"/>
      <c r="AK413" s="80"/>
      <c r="AL413" s="80"/>
      <c r="AM413" s="80"/>
      <c r="AN413" s="2"/>
      <c r="AO413" s="2"/>
    </row>
    <row r="414" spans="1:41" ht="12.75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93"/>
      <c r="Q414" s="93"/>
      <c r="R414" s="93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/>
      <c r="AF414" s="80"/>
      <c r="AG414" s="80"/>
      <c r="AH414" s="80"/>
      <c r="AI414" s="80"/>
      <c r="AJ414" s="80"/>
      <c r="AK414" s="80"/>
      <c r="AL414" s="80"/>
      <c r="AM414" s="80"/>
      <c r="AN414" s="2"/>
      <c r="AO414" s="2"/>
    </row>
    <row r="415" spans="1:41" ht="12.75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93"/>
      <c r="Q415" s="93"/>
      <c r="R415" s="93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  <c r="AE415" s="80"/>
      <c r="AF415" s="80"/>
      <c r="AG415" s="80"/>
      <c r="AH415" s="80"/>
      <c r="AI415" s="80"/>
      <c r="AJ415" s="80"/>
      <c r="AK415" s="80"/>
      <c r="AL415" s="80"/>
      <c r="AM415" s="80"/>
      <c r="AN415" s="2"/>
      <c r="AO415" s="2"/>
    </row>
    <row r="416" spans="1:41" ht="12.75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93"/>
      <c r="Q416" s="93"/>
      <c r="R416" s="93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  <c r="AD416" s="80"/>
      <c r="AE416" s="80"/>
      <c r="AF416" s="80"/>
      <c r="AG416" s="80"/>
      <c r="AH416" s="80"/>
      <c r="AI416" s="80"/>
      <c r="AJ416" s="80"/>
      <c r="AK416" s="80"/>
      <c r="AL416" s="80"/>
      <c r="AM416" s="80"/>
      <c r="AN416" s="2"/>
      <c r="AO416" s="2"/>
    </row>
    <row r="417" spans="1:41" ht="12.75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93"/>
      <c r="Q417" s="93"/>
      <c r="R417" s="93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  <c r="AD417" s="80"/>
      <c r="AE417" s="80"/>
      <c r="AF417" s="80"/>
      <c r="AG417" s="80"/>
      <c r="AH417" s="80"/>
      <c r="AI417" s="80"/>
      <c r="AJ417" s="80"/>
      <c r="AK417" s="80"/>
      <c r="AL417" s="80"/>
      <c r="AM417" s="80"/>
      <c r="AN417" s="2"/>
      <c r="AO417" s="2"/>
    </row>
    <row r="418" spans="1:41" ht="12.75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93"/>
      <c r="Q418" s="93"/>
      <c r="R418" s="93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  <c r="AD418" s="80"/>
      <c r="AE418" s="80"/>
      <c r="AF418" s="80"/>
      <c r="AG418" s="80"/>
      <c r="AH418" s="80"/>
      <c r="AI418" s="80"/>
      <c r="AJ418" s="80"/>
      <c r="AK418" s="80"/>
      <c r="AL418" s="80"/>
      <c r="AM418" s="80"/>
      <c r="AN418" s="2"/>
      <c r="AO418" s="2"/>
    </row>
    <row r="419" spans="1:41" ht="12.75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93"/>
      <c r="Q419" s="93"/>
      <c r="R419" s="93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  <c r="AD419" s="80"/>
      <c r="AE419" s="80"/>
      <c r="AF419" s="80"/>
      <c r="AG419" s="80"/>
      <c r="AH419" s="80"/>
      <c r="AI419" s="80"/>
      <c r="AJ419" s="80"/>
      <c r="AK419" s="80"/>
      <c r="AL419" s="80"/>
      <c r="AM419" s="80"/>
      <c r="AN419" s="2"/>
      <c r="AO419" s="2"/>
    </row>
    <row r="420" spans="1:41" ht="12.75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93"/>
      <c r="Q420" s="93"/>
      <c r="R420" s="93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  <c r="AD420" s="80"/>
      <c r="AE420" s="80"/>
      <c r="AF420" s="80"/>
      <c r="AG420" s="80"/>
      <c r="AH420" s="80"/>
      <c r="AI420" s="80"/>
      <c r="AJ420" s="80"/>
      <c r="AK420" s="80"/>
      <c r="AL420" s="80"/>
      <c r="AM420" s="80"/>
      <c r="AN420" s="2"/>
      <c r="AO420" s="2"/>
    </row>
    <row r="421" spans="1:41" ht="12.75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93"/>
      <c r="Q421" s="93"/>
      <c r="R421" s="93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  <c r="AD421" s="80"/>
      <c r="AE421" s="80"/>
      <c r="AF421" s="80"/>
      <c r="AG421" s="80"/>
      <c r="AH421" s="80"/>
      <c r="AI421" s="80"/>
      <c r="AJ421" s="80"/>
      <c r="AK421" s="80"/>
      <c r="AL421" s="80"/>
      <c r="AM421" s="80"/>
      <c r="AN421" s="2"/>
      <c r="AO421" s="2"/>
    </row>
    <row r="422" spans="1:41" ht="12.75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93"/>
      <c r="Q422" s="93"/>
      <c r="R422" s="93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  <c r="AF422" s="80"/>
      <c r="AG422" s="80"/>
      <c r="AH422" s="80"/>
      <c r="AI422" s="80"/>
      <c r="AJ422" s="80"/>
      <c r="AK422" s="80"/>
      <c r="AL422" s="80"/>
      <c r="AM422" s="80"/>
      <c r="AN422" s="2"/>
      <c r="AO422" s="2"/>
    </row>
    <row r="423" spans="1:41" ht="12.75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93"/>
      <c r="Q423" s="93"/>
      <c r="R423" s="93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80"/>
      <c r="AF423" s="80"/>
      <c r="AG423" s="80"/>
      <c r="AH423" s="80"/>
      <c r="AI423" s="80"/>
      <c r="AJ423" s="80"/>
      <c r="AK423" s="80"/>
      <c r="AL423" s="80"/>
      <c r="AM423" s="80"/>
      <c r="AN423" s="2"/>
      <c r="AO423" s="2"/>
    </row>
    <row r="424" spans="1:41" ht="12.75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93"/>
      <c r="Q424" s="93"/>
      <c r="R424" s="93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  <c r="AF424" s="80"/>
      <c r="AG424" s="80"/>
      <c r="AH424" s="80"/>
      <c r="AI424" s="80"/>
      <c r="AJ424" s="80"/>
      <c r="AK424" s="80"/>
      <c r="AL424" s="80"/>
      <c r="AM424" s="80"/>
      <c r="AN424" s="2"/>
      <c r="AO424" s="2"/>
    </row>
    <row r="425" spans="1:41" ht="12.75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93"/>
      <c r="Q425" s="93"/>
      <c r="R425" s="93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  <c r="AH425" s="80"/>
      <c r="AI425" s="80"/>
      <c r="AJ425" s="80"/>
      <c r="AK425" s="80"/>
      <c r="AL425" s="80"/>
      <c r="AM425" s="80"/>
      <c r="AN425" s="2"/>
      <c r="AO425" s="2"/>
    </row>
    <row r="426" spans="1:41" ht="12.75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93"/>
      <c r="Q426" s="93"/>
      <c r="R426" s="93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  <c r="AH426" s="80"/>
      <c r="AI426" s="80"/>
      <c r="AJ426" s="80"/>
      <c r="AK426" s="80"/>
      <c r="AL426" s="80"/>
      <c r="AM426" s="80"/>
      <c r="AN426" s="2"/>
      <c r="AO426" s="2"/>
    </row>
    <row r="427" spans="1:41" ht="12.75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93"/>
      <c r="Q427" s="93"/>
      <c r="R427" s="93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  <c r="AH427" s="80"/>
      <c r="AI427" s="80"/>
      <c r="AJ427" s="80"/>
      <c r="AK427" s="80"/>
      <c r="AL427" s="80"/>
      <c r="AM427" s="80"/>
      <c r="AN427" s="2"/>
      <c r="AO427" s="2"/>
    </row>
    <row r="428" spans="1:41" ht="12.75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93"/>
      <c r="Q428" s="93"/>
      <c r="R428" s="93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  <c r="AE428" s="80"/>
      <c r="AF428" s="80"/>
      <c r="AG428" s="80"/>
      <c r="AH428" s="80"/>
      <c r="AI428" s="80"/>
      <c r="AJ428" s="80"/>
      <c r="AK428" s="80"/>
      <c r="AL428" s="80"/>
      <c r="AM428" s="80"/>
      <c r="AN428" s="2"/>
      <c r="AO428" s="2"/>
    </row>
    <row r="429" spans="1:41" ht="12.75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93"/>
      <c r="Q429" s="93"/>
      <c r="R429" s="93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  <c r="AG429" s="80"/>
      <c r="AH429" s="80"/>
      <c r="AI429" s="80"/>
      <c r="AJ429" s="80"/>
      <c r="AK429" s="80"/>
      <c r="AL429" s="80"/>
      <c r="AM429" s="80"/>
      <c r="AN429" s="2"/>
      <c r="AO429" s="2"/>
    </row>
    <row r="430" spans="1:41" ht="12.75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93"/>
      <c r="Q430" s="93"/>
      <c r="R430" s="93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  <c r="AF430" s="80"/>
      <c r="AG430" s="80"/>
      <c r="AH430" s="80"/>
      <c r="AI430" s="80"/>
      <c r="AJ430" s="80"/>
      <c r="AK430" s="80"/>
      <c r="AL430" s="80"/>
      <c r="AM430" s="80"/>
      <c r="AN430" s="2"/>
      <c r="AO430" s="2"/>
    </row>
    <row r="431" spans="1:41" ht="12.75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93"/>
      <c r="Q431" s="93"/>
      <c r="R431" s="93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  <c r="AH431" s="80"/>
      <c r="AI431" s="80"/>
      <c r="AJ431" s="80"/>
      <c r="AK431" s="80"/>
      <c r="AL431" s="80"/>
      <c r="AM431" s="80"/>
      <c r="AN431" s="2"/>
      <c r="AO431" s="2"/>
    </row>
    <row r="432" spans="1:41" ht="12.75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93"/>
      <c r="Q432" s="93"/>
      <c r="R432" s="93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  <c r="AE432" s="80"/>
      <c r="AF432" s="80"/>
      <c r="AG432" s="80"/>
      <c r="AH432" s="80"/>
      <c r="AI432" s="80"/>
      <c r="AJ432" s="80"/>
      <c r="AK432" s="80"/>
      <c r="AL432" s="80"/>
      <c r="AM432" s="80"/>
      <c r="AN432" s="2"/>
      <c r="AO432" s="2"/>
    </row>
    <row r="433" spans="1:41" ht="12.75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93"/>
      <c r="Q433" s="93"/>
      <c r="R433" s="93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  <c r="AE433" s="80"/>
      <c r="AF433" s="80"/>
      <c r="AG433" s="80"/>
      <c r="AH433" s="80"/>
      <c r="AI433" s="80"/>
      <c r="AJ433" s="80"/>
      <c r="AK433" s="80"/>
      <c r="AL433" s="80"/>
      <c r="AM433" s="80"/>
      <c r="AN433" s="2"/>
      <c r="AO433" s="2"/>
    </row>
    <row r="434" spans="1:41" ht="12.75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93"/>
      <c r="Q434" s="93"/>
      <c r="R434" s="93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  <c r="AG434" s="80"/>
      <c r="AH434" s="80"/>
      <c r="AI434" s="80"/>
      <c r="AJ434" s="80"/>
      <c r="AK434" s="80"/>
      <c r="AL434" s="80"/>
      <c r="AM434" s="80"/>
      <c r="AN434" s="2"/>
      <c r="AO434" s="2"/>
    </row>
    <row r="435" spans="1:41" ht="12.75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93"/>
      <c r="Q435" s="93"/>
      <c r="R435" s="93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  <c r="AE435" s="80"/>
      <c r="AF435" s="80"/>
      <c r="AG435" s="80"/>
      <c r="AH435" s="80"/>
      <c r="AI435" s="80"/>
      <c r="AJ435" s="80"/>
      <c r="AK435" s="80"/>
      <c r="AL435" s="80"/>
      <c r="AM435" s="80"/>
      <c r="AN435" s="2"/>
      <c r="AO435" s="2"/>
    </row>
    <row r="436" spans="1:41" ht="12.75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93"/>
      <c r="Q436" s="93"/>
      <c r="R436" s="93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  <c r="AE436" s="80"/>
      <c r="AF436" s="80"/>
      <c r="AG436" s="80"/>
      <c r="AH436" s="80"/>
      <c r="AI436" s="80"/>
      <c r="AJ436" s="80"/>
      <c r="AK436" s="80"/>
      <c r="AL436" s="80"/>
      <c r="AM436" s="80"/>
      <c r="AN436" s="2"/>
      <c r="AO436" s="2"/>
    </row>
    <row r="437" spans="1:41" ht="12.75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93"/>
      <c r="Q437" s="93"/>
      <c r="R437" s="93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  <c r="AF437" s="80"/>
      <c r="AG437" s="80"/>
      <c r="AH437" s="80"/>
      <c r="AI437" s="80"/>
      <c r="AJ437" s="80"/>
      <c r="AK437" s="80"/>
      <c r="AL437" s="80"/>
      <c r="AM437" s="80"/>
      <c r="AN437" s="2"/>
      <c r="AO437" s="2"/>
    </row>
    <row r="438" spans="1:41" ht="12.75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93"/>
      <c r="Q438" s="93"/>
      <c r="R438" s="93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  <c r="AF438" s="80"/>
      <c r="AG438" s="80"/>
      <c r="AH438" s="80"/>
      <c r="AI438" s="80"/>
      <c r="AJ438" s="80"/>
      <c r="AK438" s="80"/>
      <c r="AL438" s="80"/>
      <c r="AM438" s="80"/>
      <c r="AN438" s="2"/>
      <c r="AO438" s="2"/>
    </row>
    <row r="439" spans="1:41" ht="12.75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93"/>
      <c r="Q439" s="93"/>
      <c r="R439" s="93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  <c r="AF439" s="80"/>
      <c r="AG439" s="80"/>
      <c r="AH439" s="80"/>
      <c r="AI439" s="80"/>
      <c r="AJ439" s="80"/>
      <c r="AK439" s="80"/>
      <c r="AL439" s="80"/>
      <c r="AM439" s="80"/>
      <c r="AN439" s="2"/>
      <c r="AO439" s="2"/>
    </row>
    <row r="440" spans="1:41" ht="12.75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93"/>
      <c r="Q440" s="93"/>
      <c r="R440" s="93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  <c r="AE440" s="80"/>
      <c r="AF440" s="80"/>
      <c r="AG440" s="80"/>
      <c r="AH440" s="80"/>
      <c r="AI440" s="80"/>
      <c r="AJ440" s="80"/>
      <c r="AK440" s="80"/>
      <c r="AL440" s="80"/>
      <c r="AM440" s="80"/>
      <c r="AN440" s="2"/>
      <c r="AO440" s="2"/>
    </row>
    <row r="441" spans="1:41" ht="12.75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93"/>
      <c r="Q441" s="93"/>
      <c r="R441" s="93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  <c r="AF441" s="80"/>
      <c r="AG441" s="80"/>
      <c r="AH441" s="80"/>
      <c r="AI441" s="80"/>
      <c r="AJ441" s="80"/>
      <c r="AK441" s="80"/>
      <c r="AL441" s="80"/>
      <c r="AM441" s="80"/>
      <c r="AN441" s="2"/>
      <c r="AO441" s="2"/>
    </row>
    <row r="442" spans="1:41" ht="12.75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93"/>
      <c r="Q442" s="93"/>
      <c r="R442" s="93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  <c r="AE442" s="80"/>
      <c r="AF442" s="80"/>
      <c r="AG442" s="80"/>
      <c r="AH442" s="80"/>
      <c r="AI442" s="80"/>
      <c r="AJ442" s="80"/>
      <c r="AK442" s="80"/>
      <c r="AL442" s="80"/>
      <c r="AM442" s="80"/>
      <c r="AN442" s="2"/>
      <c r="AO442" s="2"/>
    </row>
    <row r="443" spans="1:41" ht="12.75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93"/>
      <c r="Q443" s="93"/>
      <c r="R443" s="93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2"/>
      <c r="AO443" s="2"/>
    </row>
    <row r="444" spans="1:41" ht="12.75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93"/>
      <c r="Q444" s="93"/>
      <c r="R444" s="93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  <c r="AD444" s="80"/>
      <c r="AE444" s="80"/>
      <c r="AF444" s="80"/>
      <c r="AG444" s="80"/>
      <c r="AH444" s="80"/>
      <c r="AI444" s="80"/>
      <c r="AJ444" s="80"/>
      <c r="AK444" s="80"/>
      <c r="AL444" s="80"/>
      <c r="AM444" s="80"/>
      <c r="AN444" s="2"/>
      <c r="AO444" s="2"/>
    </row>
    <row r="445" spans="1:41" ht="12.75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93"/>
      <c r="Q445" s="93"/>
      <c r="R445" s="93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  <c r="AE445" s="80"/>
      <c r="AF445" s="80"/>
      <c r="AG445" s="80"/>
      <c r="AH445" s="80"/>
      <c r="AI445" s="80"/>
      <c r="AJ445" s="80"/>
      <c r="AK445" s="80"/>
      <c r="AL445" s="80"/>
      <c r="AM445" s="80"/>
      <c r="AN445" s="2"/>
      <c r="AO445" s="2"/>
    </row>
    <row r="446" spans="1:41" ht="12.75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93"/>
      <c r="Q446" s="93"/>
      <c r="R446" s="93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  <c r="AE446" s="80"/>
      <c r="AF446" s="80"/>
      <c r="AG446" s="80"/>
      <c r="AH446" s="80"/>
      <c r="AI446" s="80"/>
      <c r="AJ446" s="80"/>
      <c r="AK446" s="80"/>
      <c r="AL446" s="80"/>
      <c r="AM446" s="80"/>
      <c r="AN446" s="2"/>
      <c r="AO446" s="2"/>
    </row>
    <row r="447" spans="1:41" ht="12.75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93"/>
      <c r="Q447" s="93"/>
      <c r="R447" s="93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  <c r="AD447" s="80"/>
      <c r="AE447" s="80"/>
      <c r="AF447" s="80"/>
      <c r="AG447" s="80"/>
      <c r="AH447" s="80"/>
      <c r="AI447" s="80"/>
      <c r="AJ447" s="80"/>
      <c r="AK447" s="80"/>
      <c r="AL447" s="80"/>
      <c r="AM447" s="80"/>
      <c r="AN447" s="2"/>
      <c r="AO447" s="2"/>
    </row>
    <row r="448" spans="1:41" ht="12.75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93"/>
      <c r="Q448" s="93"/>
      <c r="R448" s="93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  <c r="AE448" s="80"/>
      <c r="AF448" s="80"/>
      <c r="AG448" s="80"/>
      <c r="AH448" s="80"/>
      <c r="AI448" s="80"/>
      <c r="AJ448" s="80"/>
      <c r="AK448" s="80"/>
      <c r="AL448" s="80"/>
      <c r="AM448" s="80"/>
      <c r="AN448" s="2"/>
      <c r="AO448" s="2"/>
    </row>
    <row r="449" spans="1:41" ht="12.75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93"/>
      <c r="Q449" s="93"/>
      <c r="R449" s="93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  <c r="AD449" s="80"/>
      <c r="AE449" s="80"/>
      <c r="AF449" s="80"/>
      <c r="AG449" s="80"/>
      <c r="AH449" s="80"/>
      <c r="AI449" s="80"/>
      <c r="AJ449" s="80"/>
      <c r="AK449" s="80"/>
      <c r="AL449" s="80"/>
      <c r="AM449" s="80"/>
      <c r="AN449" s="2"/>
      <c r="AO449" s="2"/>
    </row>
    <row r="450" spans="1:41" ht="12.75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93"/>
      <c r="Q450" s="93"/>
      <c r="R450" s="93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  <c r="AD450" s="80"/>
      <c r="AE450" s="80"/>
      <c r="AF450" s="80"/>
      <c r="AG450" s="80"/>
      <c r="AH450" s="80"/>
      <c r="AI450" s="80"/>
      <c r="AJ450" s="80"/>
      <c r="AK450" s="80"/>
      <c r="AL450" s="80"/>
      <c r="AM450" s="80"/>
      <c r="AN450" s="2"/>
      <c r="AO450" s="2"/>
    </row>
    <row r="451" spans="1:41" ht="12.75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93"/>
      <c r="Q451" s="93"/>
      <c r="R451" s="93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  <c r="AD451" s="80"/>
      <c r="AE451" s="80"/>
      <c r="AF451" s="80"/>
      <c r="AG451" s="80"/>
      <c r="AH451" s="80"/>
      <c r="AI451" s="80"/>
      <c r="AJ451" s="80"/>
      <c r="AK451" s="80"/>
      <c r="AL451" s="80"/>
      <c r="AM451" s="80"/>
      <c r="AN451" s="2"/>
      <c r="AO451" s="2"/>
    </row>
    <row r="452" spans="1:41" ht="12.75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93"/>
      <c r="Q452" s="93"/>
      <c r="R452" s="93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  <c r="AD452" s="80"/>
      <c r="AE452" s="80"/>
      <c r="AF452" s="80"/>
      <c r="AG452" s="80"/>
      <c r="AH452" s="80"/>
      <c r="AI452" s="80"/>
      <c r="AJ452" s="80"/>
      <c r="AK452" s="80"/>
      <c r="AL452" s="80"/>
      <c r="AM452" s="80"/>
      <c r="AN452" s="2"/>
      <c r="AO452" s="2"/>
    </row>
    <row r="453" spans="1:41" ht="12.75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93"/>
      <c r="Q453" s="93"/>
      <c r="R453" s="93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  <c r="AD453" s="80"/>
      <c r="AE453" s="80"/>
      <c r="AF453" s="80"/>
      <c r="AG453" s="80"/>
      <c r="AH453" s="80"/>
      <c r="AI453" s="80"/>
      <c r="AJ453" s="80"/>
      <c r="AK453" s="80"/>
      <c r="AL453" s="80"/>
      <c r="AM453" s="80"/>
      <c r="AN453" s="2"/>
      <c r="AO453" s="2"/>
    </row>
    <row r="454" spans="1:41" ht="12.75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93"/>
      <c r="Q454" s="93"/>
      <c r="R454" s="93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  <c r="AE454" s="80"/>
      <c r="AF454" s="80"/>
      <c r="AG454" s="80"/>
      <c r="AH454" s="80"/>
      <c r="AI454" s="80"/>
      <c r="AJ454" s="80"/>
      <c r="AK454" s="80"/>
      <c r="AL454" s="80"/>
      <c r="AM454" s="80"/>
      <c r="AN454" s="2"/>
      <c r="AO454" s="2"/>
    </row>
    <row r="455" spans="1:41" ht="12.75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93"/>
      <c r="Q455" s="93"/>
      <c r="R455" s="93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  <c r="AD455" s="80"/>
      <c r="AE455" s="80"/>
      <c r="AF455" s="80"/>
      <c r="AG455" s="80"/>
      <c r="AH455" s="80"/>
      <c r="AI455" s="80"/>
      <c r="AJ455" s="80"/>
      <c r="AK455" s="80"/>
      <c r="AL455" s="80"/>
      <c r="AM455" s="80"/>
      <c r="AN455" s="2"/>
      <c r="AO455" s="2"/>
    </row>
    <row r="456" spans="1:41" ht="12.75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93"/>
      <c r="Q456" s="93"/>
      <c r="R456" s="93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  <c r="AD456" s="80"/>
      <c r="AE456" s="80"/>
      <c r="AF456" s="80"/>
      <c r="AG456" s="80"/>
      <c r="AH456" s="80"/>
      <c r="AI456" s="80"/>
      <c r="AJ456" s="80"/>
      <c r="AK456" s="80"/>
      <c r="AL456" s="80"/>
      <c r="AM456" s="80"/>
      <c r="AN456" s="2"/>
      <c r="AO456" s="2"/>
    </row>
    <row r="457" spans="1:41" ht="12.75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93"/>
      <c r="Q457" s="93"/>
      <c r="R457" s="93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  <c r="AD457" s="80"/>
      <c r="AE457" s="80"/>
      <c r="AF457" s="80"/>
      <c r="AG457" s="80"/>
      <c r="AH457" s="80"/>
      <c r="AI457" s="80"/>
      <c r="AJ457" s="80"/>
      <c r="AK457" s="80"/>
      <c r="AL457" s="80"/>
      <c r="AM457" s="80"/>
      <c r="AN457" s="2"/>
      <c r="AO457" s="2"/>
    </row>
    <row r="458" spans="1:41" ht="12.75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93"/>
      <c r="Q458" s="93"/>
      <c r="R458" s="93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  <c r="AE458" s="80"/>
      <c r="AF458" s="80"/>
      <c r="AG458" s="80"/>
      <c r="AH458" s="80"/>
      <c r="AI458" s="80"/>
      <c r="AJ458" s="80"/>
      <c r="AK458" s="80"/>
      <c r="AL458" s="80"/>
      <c r="AM458" s="80"/>
      <c r="AN458" s="2"/>
      <c r="AO458" s="2"/>
    </row>
    <row r="459" spans="1:41" ht="12.75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93"/>
      <c r="Q459" s="93"/>
      <c r="R459" s="93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  <c r="AD459" s="80"/>
      <c r="AE459" s="80"/>
      <c r="AF459" s="80"/>
      <c r="AG459" s="80"/>
      <c r="AH459" s="80"/>
      <c r="AI459" s="80"/>
      <c r="AJ459" s="80"/>
      <c r="AK459" s="80"/>
      <c r="AL459" s="80"/>
      <c r="AM459" s="80"/>
      <c r="AN459" s="2"/>
      <c r="AO459" s="2"/>
    </row>
    <row r="460" spans="1:41" ht="12.75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93"/>
      <c r="Q460" s="93"/>
      <c r="R460" s="93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  <c r="AE460" s="80"/>
      <c r="AF460" s="80"/>
      <c r="AG460" s="80"/>
      <c r="AH460" s="80"/>
      <c r="AI460" s="80"/>
      <c r="AJ460" s="80"/>
      <c r="AK460" s="80"/>
      <c r="AL460" s="80"/>
      <c r="AM460" s="80"/>
      <c r="AN460" s="2"/>
      <c r="AO460" s="2"/>
    </row>
    <row r="461" spans="1:41" ht="12.75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93"/>
      <c r="Q461" s="93"/>
      <c r="R461" s="93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  <c r="AE461" s="80"/>
      <c r="AF461" s="80"/>
      <c r="AG461" s="80"/>
      <c r="AH461" s="80"/>
      <c r="AI461" s="80"/>
      <c r="AJ461" s="80"/>
      <c r="AK461" s="80"/>
      <c r="AL461" s="80"/>
      <c r="AM461" s="80"/>
      <c r="AN461" s="2"/>
      <c r="AO461" s="2"/>
    </row>
    <row r="462" spans="1:41" ht="12.75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93"/>
      <c r="Q462" s="93"/>
      <c r="R462" s="93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  <c r="AE462" s="80"/>
      <c r="AF462" s="80"/>
      <c r="AG462" s="80"/>
      <c r="AH462" s="80"/>
      <c r="AI462" s="80"/>
      <c r="AJ462" s="80"/>
      <c r="AK462" s="80"/>
      <c r="AL462" s="80"/>
      <c r="AM462" s="80"/>
      <c r="AN462" s="2"/>
      <c r="AO462" s="2"/>
    </row>
    <row r="463" spans="1:41" ht="12.75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93"/>
      <c r="Q463" s="93"/>
      <c r="R463" s="93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  <c r="AE463" s="80"/>
      <c r="AF463" s="80"/>
      <c r="AG463" s="80"/>
      <c r="AH463" s="80"/>
      <c r="AI463" s="80"/>
      <c r="AJ463" s="80"/>
      <c r="AK463" s="80"/>
      <c r="AL463" s="80"/>
      <c r="AM463" s="80"/>
      <c r="AN463" s="2"/>
      <c r="AO463" s="2"/>
    </row>
    <row r="464" spans="1:41" ht="12.75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93"/>
      <c r="Q464" s="93"/>
      <c r="R464" s="93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  <c r="AD464" s="80"/>
      <c r="AE464" s="80"/>
      <c r="AF464" s="80"/>
      <c r="AG464" s="80"/>
      <c r="AH464" s="80"/>
      <c r="AI464" s="80"/>
      <c r="AJ464" s="80"/>
      <c r="AK464" s="80"/>
      <c r="AL464" s="80"/>
      <c r="AM464" s="80"/>
      <c r="AN464" s="2"/>
      <c r="AO464" s="2"/>
    </row>
    <row r="465" spans="1:41" ht="12.75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93"/>
      <c r="Q465" s="93"/>
      <c r="R465" s="93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  <c r="AE465" s="80"/>
      <c r="AF465" s="80"/>
      <c r="AG465" s="80"/>
      <c r="AH465" s="80"/>
      <c r="AI465" s="80"/>
      <c r="AJ465" s="80"/>
      <c r="AK465" s="80"/>
      <c r="AL465" s="80"/>
      <c r="AM465" s="80"/>
      <c r="AN465" s="2"/>
      <c r="AO465" s="2"/>
    </row>
    <row r="466" spans="1:41" ht="12.75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93"/>
      <c r="Q466" s="93"/>
      <c r="R466" s="93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  <c r="AD466" s="80"/>
      <c r="AE466" s="80"/>
      <c r="AF466" s="80"/>
      <c r="AG466" s="80"/>
      <c r="AH466" s="80"/>
      <c r="AI466" s="80"/>
      <c r="AJ466" s="80"/>
      <c r="AK466" s="80"/>
      <c r="AL466" s="80"/>
      <c r="AM466" s="80"/>
      <c r="AN466" s="2"/>
      <c r="AO466" s="2"/>
    </row>
    <row r="467" spans="1:41" ht="12.75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93"/>
      <c r="Q467" s="93"/>
      <c r="R467" s="93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  <c r="AD467" s="80"/>
      <c r="AE467" s="80"/>
      <c r="AF467" s="80"/>
      <c r="AG467" s="80"/>
      <c r="AH467" s="80"/>
      <c r="AI467" s="80"/>
      <c r="AJ467" s="80"/>
      <c r="AK467" s="80"/>
      <c r="AL467" s="80"/>
      <c r="AM467" s="80"/>
      <c r="AN467" s="2"/>
      <c r="AO467" s="2"/>
    </row>
    <row r="468" spans="1:41" ht="12.75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93"/>
      <c r="Q468" s="93"/>
      <c r="R468" s="93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  <c r="AD468" s="80"/>
      <c r="AE468" s="80"/>
      <c r="AF468" s="80"/>
      <c r="AG468" s="80"/>
      <c r="AH468" s="80"/>
      <c r="AI468" s="80"/>
      <c r="AJ468" s="80"/>
      <c r="AK468" s="80"/>
      <c r="AL468" s="80"/>
      <c r="AM468" s="80"/>
      <c r="AN468" s="2"/>
      <c r="AO468" s="2"/>
    </row>
    <row r="469" spans="1:41" ht="12.75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93"/>
      <c r="Q469" s="93"/>
      <c r="R469" s="93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  <c r="AD469" s="80"/>
      <c r="AE469" s="80"/>
      <c r="AF469" s="80"/>
      <c r="AG469" s="80"/>
      <c r="AH469" s="80"/>
      <c r="AI469" s="80"/>
      <c r="AJ469" s="80"/>
      <c r="AK469" s="80"/>
      <c r="AL469" s="80"/>
      <c r="AM469" s="80"/>
      <c r="AN469" s="2"/>
      <c r="AO469" s="2"/>
    </row>
    <row r="470" spans="1:41" ht="12.75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93"/>
      <c r="Q470" s="93"/>
      <c r="R470" s="93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  <c r="AD470" s="80"/>
      <c r="AE470" s="80"/>
      <c r="AF470" s="80"/>
      <c r="AG470" s="80"/>
      <c r="AH470" s="80"/>
      <c r="AI470" s="80"/>
      <c r="AJ470" s="80"/>
      <c r="AK470" s="80"/>
      <c r="AL470" s="80"/>
      <c r="AM470" s="80"/>
      <c r="AN470" s="2"/>
      <c r="AO470" s="2"/>
    </row>
    <row r="471" spans="1:41" ht="12.75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93"/>
      <c r="Q471" s="93"/>
      <c r="R471" s="93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  <c r="AD471" s="80"/>
      <c r="AE471" s="80"/>
      <c r="AF471" s="80"/>
      <c r="AG471" s="80"/>
      <c r="AH471" s="80"/>
      <c r="AI471" s="80"/>
      <c r="AJ471" s="80"/>
      <c r="AK471" s="80"/>
      <c r="AL471" s="80"/>
      <c r="AM471" s="80"/>
      <c r="AN471" s="2"/>
      <c r="AO471" s="2"/>
    </row>
    <row r="472" spans="1:41" ht="12.75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93"/>
      <c r="Q472" s="93"/>
      <c r="R472" s="93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  <c r="AD472" s="80"/>
      <c r="AE472" s="80"/>
      <c r="AF472" s="80"/>
      <c r="AG472" s="80"/>
      <c r="AH472" s="80"/>
      <c r="AI472" s="80"/>
      <c r="AJ472" s="80"/>
      <c r="AK472" s="80"/>
      <c r="AL472" s="80"/>
      <c r="AM472" s="80"/>
      <c r="AN472" s="2"/>
      <c r="AO472" s="2"/>
    </row>
    <row r="473" spans="1:41" ht="12.75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93"/>
      <c r="Q473" s="93"/>
      <c r="R473" s="93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  <c r="AD473" s="80"/>
      <c r="AE473" s="80"/>
      <c r="AF473" s="80"/>
      <c r="AG473" s="80"/>
      <c r="AH473" s="80"/>
      <c r="AI473" s="80"/>
      <c r="AJ473" s="80"/>
      <c r="AK473" s="80"/>
      <c r="AL473" s="80"/>
      <c r="AM473" s="80"/>
      <c r="AN473" s="2"/>
      <c r="AO473" s="2"/>
    </row>
    <row r="474" spans="1:41" ht="12.75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93"/>
      <c r="Q474" s="93"/>
      <c r="R474" s="93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  <c r="AD474" s="80"/>
      <c r="AE474" s="80"/>
      <c r="AF474" s="80"/>
      <c r="AG474" s="80"/>
      <c r="AH474" s="80"/>
      <c r="AI474" s="80"/>
      <c r="AJ474" s="80"/>
      <c r="AK474" s="80"/>
      <c r="AL474" s="80"/>
      <c r="AM474" s="80"/>
      <c r="AN474" s="2"/>
      <c r="AO474" s="2"/>
    </row>
    <row r="475" spans="1:41" ht="12.75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93"/>
      <c r="Q475" s="93"/>
      <c r="R475" s="93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  <c r="AD475" s="80"/>
      <c r="AE475" s="80"/>
      <c r="AF475" s="80"/>
      <c r="AG475" s="80"/>
      <c r="AH475" s="80"/>
      <c r="AI475" s="80"/>
      <c r="AJ475" s="80"/>
      <c r="AK475" s="80"/>
      <c r="AL475" s="80"/>
      <c r="AM475" s="80"/>
      <c r="AN475" s="2"/>
      <c r="AO475" s="2"/>
    </row>
    <row r="476" spans="1:41" ht="12.75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93"/>
      <c r="Q476" s="93"/>
      <c r="R476" s="93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  <c r="AD476" s="80"/>
      <c r="AE476" s="80"/>
      <c r="AF476" s="80"/>
      <c r="AG476" s="80"/>
      <c r="AH476" s="80"/>
      <c r="AI476" s="80"/>
      <c r="AJ476" s="80"/>
      <c r="AK476" s="80"/>
      <c r="AL476" s="80"/>
      <c r="AM476" s="80"/>
      <c r="AN476" s="2"/>
      <c r="AO476" s="2"/>
    </row>
    <row r="477" spans="1:41" ht="12.75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93"/>
      <c r="Q477" s="93"/>
      <c r="R477" s="93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  <c r="AD477" s="80"/>
      <c r="AE477" s="80"/>
      <c r="AF477" s="80"/>
      <c r="AG477" s="80"/>
      <c r="AH477" s="80"/>
      <c r="AI477" s="80"/>
      <c r="AJ477" s="80"/>
      <c r="AK477" s="80"/>
      <c r="AL477" s="80"/>
      <c r="AM477" s="80"/>
      <c r="AN477" s="2"/>
      <c r="AO477" s="2"/>
    </row>
    <row r="478" spans="1:41" ht="12.75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93"/>
      <c r="Q478" s="93"/>
      <c r="R478" s="93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  <c r="AD478" s="80"/>
      <c r="AE478" s="80"/>
      <c r="AF478" s="80"/>
      <c r="AG478" s="80"/>
      <c r="AH478" s="80"/>
      <c r="AI478" s="80"/>
      <c r="AJ478" s="80"/>
      <c r="AK478" s="80"/>
      <c r="AL478" s="80"/>
      <c r="AM478" s="80"/>
      <c r="AN478" s="2"/>
      <c r="AO478" s="2"/>
    </row>
    <row r="479" spans="1:41" ht="12.75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93"/>
      <c r="Q479" s="93"/>
      <c r="R479" s="93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  <c r="AD479" s="80"/>
      <c r="AE479" s="80"/>
      <c r="AF479" s="80"/>
      <c r="AG479" s="80"/>
      <c r="AH479" s="80"/>
      <c r="AI479" s="80"/>
      <c r="AJ479" s="80"/>
      <c r="AK479" s="80"/>
      <c r="AL479" s="80"/>
      <c r="AM479" s="80"/>
      <c r="AN479" s="2"/>
      <c r="AO479" s="2"/>
    </row>
    <row r="480" spans="1:41" ht="12.75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93"/>
      <c r="Q480" s="93"/>
      <c r="R480" s="93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  <c r="AD480" s="80"/>
      <c r="AE480" s="80"/>
      <c r="AF480" s="80"/>
      <c r="AG480" s="80"/>
      <c r="AH480" s="80"/>
      <c r="AI480" s="80"/>
      <c r="AJ480" s="80"/>
      <c r="AK480" s="80"/>
      <c r="AL480" s="80"/>
      <c r="AM480" s="80"/>
      <c r="AN480" s="2"/>
      <c r="AO480" s="2"/>
    </row>
    <row r="481" spans="1:41" ht="12.75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93"/>
      <c r="Q481" s="93"/>
      <c r="R481" s="93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  <c r="AD481" s="80"/>
      <c r="AE481" s="80"/>
      <c r="AF481" s="80"/>
      <c r="AG481" s="80"/>
      <c r="AH481" s="80"/>
      <c r="AI481" s="80"/>
      <c r="AJ481" s="80"/>
      <c r="AK481" s="80"/>
      <c r="AL481" s="80"/>
      <c r="AM481" s="80"/>
      <c r="AN481" s="2"/>
      <c r="AO481" s="2"/>
    </row>
    <row r="482" spans="1:41" ht="12.75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93"/>
      <c r="Q482" s="93"/>
      <c r="R482" s="93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  <c r="AD482" s="80"/>
      <c r="AE482" s="80"/>
      <c r="AF482" s="80"/>
      <c r="AG482" s="80"/>
      <c r="AH482" s="80"/>
      <c r="AI482" s="80"/>
      <c r="AJ482" s="80"/>
      <c r="AK482" s="80"/>
      <c r="AL482" s="80"/>
      <c r="AM482" s="80"/>
      <c r="AN482" s="2"/>
      <c r="AO482" s="2"/>
    </row>
    <row r="483" spans="1:41" ht="12.75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93"/>
      <c r="Q483" s="93"/>
      <c r="R483" s="93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2"/>
      <c r="AO483" s="2"/>
    </row>
    <row r="484" spans="1:41" ht="12.75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93"/>
      <c r="Q484" s="93"/>
      <c r="R484" s="93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  <c r="AD484" s="80"/>
      <c r="AE484" s="80"/>
      <c r="AF484" s="80"/>
      <c r="AG484" s="80"/>
      <c r="AH484" s="80"/>
      <c r="AI484" s="80"/>
      <c r="AJ484" s="80"/>
      <c r="AK484" s="80"/>
      <c r="AL484" s="80"/>
      <c r="AM484" s="80"/>
      <c r="AN484" s="2"/>
      <c r="AO484" s="2"/>
    </row>
    <row r="485" spans="1:41" ht="12.75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93"/>
      <c r="Q485" s="93"/>
      <c r="R485" s="93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  <c r="AH485" s="80"/>
      <c r="AI485" s="80"/>
      <c r="AJ485" s="80"/>
      <c r="AK485" s="80"/>
      <c r="AL485" s="80"/>
      <c r="AM485" s="80"/>
      <c r="AN485" s="2"/>
      <c r="AO485" s="2"/>
    </row>
    <row r="486" spans="1:41" ht="12.75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93"/>
      <c r="Q486" s="93"/>
      <c r="R486" s="93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  <c r="AE486" s="80"/>
      <c r="AF486" s="80"/>
      <c r="AG486" s="80"/>
      <c r="AH486" s="80"/>
      <c r="AI486" s="80"/>
      <c r="AJ486" s="80"/>
      <c r="AK486" s="80"/>
      <c r="AL486" s="80"/>
      <c r="AM486" s="80"/>
      <c r="AN486" s="2"/>
      <c r="AO486" s="2"/>
    </row>
    <row r="487" spans="1:41" ht="12.75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93"/>
      <c r="Q487" s="93"/>
      <c r="R487" s="93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  <c r="AD487" s="80"/>
      <c r="AE487" s="80"/>
      <c r="AF487" s="80"/>
      <c r="AG487" s="80"/>
      <c r="AH487" s="80"/>
      <c r="AI487" s="80"/>
      <c r="AJ487" s="80"/>
      <c r="AK487" s="80"/>
      <c r="AL487" s="80"/>
      <c r="AM487" s="80"/>
      <c r="AN487" s="2"/>
      <c r="AO487" s="2"/>
    </row>
    <row r="488" spans="1:41" ht="12.75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93"/>
      <c r="Q488" s="93"/>
      <c r="R488" s="93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  <c r="AH488" s="80"/>
      <c r="AI488" s="80"/>
      <c r="AJ488" s="80"/>
      <c r="AK488" s="80"/>
      <c r="AL488" s="80"/>
      <c r="AM488" s="80"/>
      <c r="AN488" s="2"/>
      <c r="AO488" s="2"/>
    </row>
    <row r="489" spans="1:41" ht="12.75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93"/>
      <c r="Q489" s="93"/>
      <c r="R489" s="93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  <c r="AD489" s="80"/>
      <c r="AE489" s="80"/>
      <c r="AF489" s="80"/>
      <c r="AG489" s="80"/>
      <c r="AH489" s="80"/>
      <c r="AI489" s="80"/>
      <c r="AJ489" s="80"/>
      <c r="AK489" s="80"/>
      <c r="AL489" s="80"/>
      <c r="AM489" s="80"/>
      <c r="AN489" s="2"/>
      <c r="AO489" s="2"/>
    </row>
    <row r="490" spans="1:41" ht="12.75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93"/>
      <c r="Q490" s="93"/>
      <c r="R490" s="93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  <c r="AE490" s="80"/>
      <c r="AF490" s="80"/>
      <c r="AG490" s="80"/>
      <c r="AH490" s="80"/>
      <c r="AI490" s="80"/>
      <c r="AJ490" s="80"/>
      <c r="AK490" s="80"/>
      <c r="AL490" s="80"/>
      <c r="AM490" s="80"/>
      <c r="AN490" s="2"/>
      <c r="AO490" s="2"/>
    </row>
    <row r="491" spans="1:41" ht="12.75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93"/>
      <c r="Q491" s="93"/>
      <c r="R491" s="93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  <c r="AD491" s="80"/>
      <c r="AE491" s="80"/>
      <c r="AF491" s="80"/>
      <c r="AG491" s="80"/>
      <c r="AH491" s="80"/>
      <c r="AI491" s="80"/>
      <c r="AJ491" s="80"/>
      <c r="AK491" s="80"/>
      <c r="AL491" s="80"/>
      <c r="AM491" s="80"/>
      <c r="AN491" s="2"/>
      <c r="AO491" s="2"/>
    </row>
    <row r="492" spans="1:41" ht="12.75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93"/>
      <c r="Q492" s="93"/>
      <c r="R492" s="93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  <c r="AD492" s="80"/>
      <c r="AE492" s="80"/>
      <c r="AF492" s="80"/>
      <c r="AG492" s="80"/>
      <c r="AH492" s="80"/>
      <c r="AI492" s="80"/>
      <c r="AJ492" s="80"/>
      <c r="AK492" s="80"/>
      <c r="AL492" s="80"/>
      <c r="AM492" s="80"/>
      <c r="AN492" s="2"/>
      <c r="AO492" s="2"/>
    </row>
    <row r="493" spans="1:41" ht="12.75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93"/>
      <c r="Q493" s="93"/>
      <c r="R493" s="93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  <c r="AD493" s="80"/>
      <c r="AE493" s="80"/>
      <c r="AF493" s="80"/>
      <c r="AG493" s="80"/>
      <c r="AH493" s="80"/>
      <c r="AI493" s="80"/>
      <c r="AJ493" s="80"/>
      <c r="AK493" s="80"/>
      <c r="AL493" s="80"/>
      <c r="AM493" s="80"/>
      <c r="AN493" s="2"/>
      <c r="AO493" s="2"/>
    </row>
    <row r="494" spans="1:41" ht="12.75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93"/>
      <c r="Q494" s="93"/>
      <c r="R494" s="93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  <c r="AD494" s="80"/>
      <c r="AE494" s="80"/>
      <c r="AF494" s="80"/>
      <c r="AG494" s="80"/>
      <c r="AH494" s="80"/>
      <c r="AI494" s="80"/>
      <c r="AJ494" s="80"/>
      <c r="AK494" s="80"/>
      <c r="AL494" s="80"/>
      <c r="AM494" s="80"/>
      <c r="AN494" s="2"/>
      <c r="AO494" s="2"/>
    </row>
    <row r="495" spans="1:41" ht="12.75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93"/>
      <c r="Q495" s="93"/>
      <c r="R495" s="93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  <c r="AD495" s="80"/>
      <c r="AE495" s="80"/>
      <c r="AF495" s="80"/>
      <c r="AG495" s="80"/>
      <c r="AH495" s="80"/>
      <c r="AI495" s="80"/>
      <c r="AJ495" s="80"/>
      <c r="AK495" s="80"/>
      <c r="AL495" s="80"/>
      <c r="AM495" s="80"/>
      <c r="AN495" s="2"/>
      <c r="AO495" s="2"/>
    </row>
    <row r="496" spans="1:41" ht="12.75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93"/>
      <c r="Q496" s="93"/>
      <c r="R496" s="93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  <c r="AD496" s="80"/>
      <c r="AE496" s="80"/>
      <c r="AF496" s="80"/>
      <c r="AG496" s="80"/>
      <c r="AH496" s="80"/>
      <c r="AI496" s="80"/>
      <c r="AJ496" s="80"/>
      <c r="AK496" s="80"/>
      <c r="AL496" s="80"/>
      <c r="AM496" s="80"/>
      <c r="AN496" s="2"/>
      <c r="AO496" s="2"/>
    </row>
    <row r="497" spans="1:41" ht="12.75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93"/>
      <c r="Q497" s="93"/>
      <c r="R497" s="93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  <c r="AD497" s="80"/>
      <c r="AE497" s="80"/>
      <c r="AF497" s="80"/>
      <c r="AG497" s="80"/>
      <c r="AH497" s="80"/>
      <c r="AI497" s="80"/>
      <c r="AJ497" s="80"/>
      <c r="AK497" s="80"/>
      <c r="AL497" s="80"/>
      <c r="AM497" s="80"/>
      <c r="AN497" s="2"/>
      <c r="AO497" s="2"/>
    </row>
    <row r="498" spans="1:41" ht="12.75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93"/>
      <c r="Q498" s="93"/>
      <c r="R498" s="93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  <c r="AE498" s="80"/>
      <c r="AF498" s="80"/>
      <c r="AG498" s="80"/>
      <c r="AH498" s="80"/>
      <c r="AI498" s="80"/>
      <c r="AJ498" s="80"/>
      <c r="AK498" s="80"/>
      <c r="AL498" s="80"/>
      <c r="AM498" s="80"/>
      <c r="AN498" s="2"/>
      <c r="AO498" s="2"/>
    </row>
    <row r="499" spans="1:41" ht="12.75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93"/>
      <c r="Q499" s="93"/>
      <c r="R499" s="93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  <c r="AE499" s="80"/>
      <c r="AF499" s="80"/>
      <c r="AG499" s="80"/>
      <c r="AH499" s="80"/>
      <c r="AI499" s="80"/>
      <c r="AJ499" s="80"/>
      <c r="AK499" s="80"/>
      <c r="AL499" s="80"/>
      <c r="AM499" s="80"/>
      <c r="AN499" s="2"/>
      <c r="AO499" s="2"/>
    </row>
    <row r="500" spans="1:41" ht="12.75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93"/>
      <c r="Q500" s="93"/>
      <c r="R500" s="93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  <c r="AD500" s="80"/>
      <c r="AE500" s="80"/>
      <c r="AF500" s="80"/>
      <c r="AG500" s="80"/>
      <c r="AH500" s="80"/>
      <c r="AI500" s="80"/>
      <c r="AJ500" s="80"/>
      <c r="AK500" s="80"/>
      <c r="AL500" s="80"/>
      <c r="AM500" s="80"/>
      <c r="AN500" s="2"/>
      <c r="AO500" s="2"/>
    </row>
    <row r="501" spans="1:41" ht="12.75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93"/>
      <c r="Q501" s="93"/>
      <c r="R501" s="93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  <c r="AD501" s="80"/>
      <c r="AE501" s="80"/>
      <c r="AF501" s="80"/>
      <c r="AG501" s="80"/>
      <c r="AH501" s="80"/>
      <c r="AI501" s="80"/>
      <c r="AJ501" s="80"/>
      <c r="AK501" s="80"/>
      <c r="AL501" s="80"/>
      <c r="AM501" s="80"/>
      <c r="AN501" s="2"/>
      <c r="AO501" s="2"/>
    </row>
    <row r="502" spans="1:41" ht="12.75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93"/>
      <c r="Q502" s="93"/>
      <c r="R502" s="93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/>
      <c r="AF502" s="80"/>
      <c r="AG502" s="80"/>
      <c r="AH502" s="80"/>
      <c r="AI502" s="80"/>
      <c r="AJ502" s="80"/>
      <c r="AK502" s="80"/>
      <c r="AL502" s="80"/>
      <c r="AM502" s="80"/>
      <c r="AN502" s="2"/>
      <c r="AO502" s="2"/>
    </row>
    <row r="503" spans="1:41" ht="12.75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93"/>
      <c r="Q503" s="93"/>
      <c r="R503" s="93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  <c r="AD503" s="80"/>
      <c r="AE503" s="80"/>
      <c r="AF503" s="80"/>
      <c r="AG503" s="80"/>
      <c r="AH503" s="80"/>
      <c r="AI503" s="80"/>
      <c r="AJ503" s="80"/>
      <c r="AK503" s="80"/>
      <c r="AL503" s="80"/>
      <c r="AM503" s="80"/>
      <c r="AN503" s="2"/>
      <c r="AO503" s="2"/>
    </row>
    <row r="504" spans="1:41" ht="12.75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93"/>
      <c r="Q504" s="93"/>
      <c r="R504" s="93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  <c r="AD504" s="80"/>
      <c r="AE504" s="80"/>
      <c r="AF504" s="80"/>
      <c r="AG504" s="80"/>
      <c r="AH504" s="80"/>
      <c r="AI504" s="80"/>
      <c r="AJ504" s="80"/>
      <c r="AK504" s="80"/>
      <c r="AL504" s="80"/>
      <c r="AM504" s="80"/>
      <c r="AN504" s="2"/>
      <c r="AO504" s="2"/>
    </row>
    <row r="505" spans="1:41" ht="12.75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93"/>
      <c r="Q505" s="93"/>
      <c r="R505" s="93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  <c r="AD505" s="80"/>
      <c r="AE505" s="80"/>
      <c r="AF505" s="80"/>
      <c r="AG505" s="80"/>
      <c r="AH505" s="80"/>
      <c r="AI505" s="80"/>
      <c r="AJ505" s="80"/>
      <c r="AK505" s="80"/>
      <c r="AL505" s="80"/>
      <c r="AM505" s="80"/>
      <c r="AN505" s="2"/>
      <c r="AO505" s="2"/>
    </row>
    <row r="506" spans="1:41" ht="12.75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93"/>
      <c r="Q506" s="93"/>
      <c r="R506" s="93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  <c r="AD506" s="80"/>
      <c r="AE506" s="80"/>
      <c r="AF506" s="80"/>
      <c r="AG506" s="80"/>
      <c r="AH506" s="80"/>
      <c r="AI506" s="80"/>
      <c r="AJ506" s="80"/>
      <c r="AK506" s="80"/>
      <c r="AL506" s="80"/>
      <c r="AM506" s="80"/>
      <c r="AN506" s="2"/>
      <c r="AO506" s="2"/>
    </row>
    <row r="507" spans="1:41" ht="12.75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93"/>
      <c r="Q507" s="93"/>
      <c r="R507" s="93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  <c r="AD507" s="80"/>
      <c r="AE507" s="80"/>
      <c r="AF507" s="80"/>
      <c r="AG507" s="80"/>
      <c r="AH507" s="80"/>
      <c r="AI507" s="80"/>
      <c r="AJ507" s="80"/>
      <c r="AK507" s="80"/>
      <c r="AL507" s="80"/>
      <c r="AM507" s="80"/>
      <c r="AN507" s="2"/>
      <c r="AO507" s="2"/>
    </row>
    <row r="508" spans="1:41" ht="12.75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93"/>
      <c r="Q508" s="93"/>
      <c r="R508" s="93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  <c r="AE508" s="80"/>
      <c r="AF508" s="80"/>
      <c r="AG508" s="80"/>
      <c r="AH508" s="80"/>
      <c r="AI508" s="80"/>
      <c r="AJ508" s="80"/>
      <c r="AK508" s="80"/>
      <c r="AL508" s="80"/>
      <c r="AM508" s="80"/>
      <c r="AN508" s="2"/>
      <c r="AO508" s="2"/>
    </row>
    <row r="509" spans="1:41" ht="12.75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93"/>
      <c r="Q509" s="93"/>
      <c r="R509" s="93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  <c r="AE509" s="80"/>
      <c r="AF509" s="80"/>
      <c r="AG509" s="80"/>
      <c r="AH509" s="80"/>
      <c r="AI509" s="80"/>
      <c r="AJ509" s="80"/>
      <c r="AK509" s="80"/>
      <c r="AL509" s="80"/>
      <c r="AM509" s="80"/>
      <c r="AN509" s="2"/>
      <c r="AO509" s="2"/>
    </row>
    <row r="510" spans="1:41" ht="12.75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93"/>
      <c r="Q510" s="93"/>
      <c r="R510" s="93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  <c r="AE510" s="80"/>
      <c r="AF510" s="80"/>
      <c r="AG510" s="80"/>
      <c r="AH510" s="80"/>
      <c r="AI510" s="80"/>
      <c r="AJ510" s="80"/>
      <c r="AK510" s="80"/>
      <c r="AL510" s="80"/>
      <c r="AM510" s="80"/>
      <c r="AN510" s="2"/>
      <c r="AO510" s="2"/>
    </row>
    <row r="511" spans="1:41" ht="12.75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93"/>
      <c r="Q511" s="93"/>
      <c r="R511" s="93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  <c r="AE511" s="80"/>
      <c r="AF511" s="80"/>
      <c r="AG511" s="80"/>
      <c r="AH511" s="80"/>
      <c r="AI511" s="80"/>
      <c r="AJ511" s="80"/>
      <c r="AK511" s="80"/>
      <c r="AL511" s="80"/>
      <c r="AM511" s="80"/>
      <c r="AN511" s="2"/>
      <c r="AO511" s="2"/>
    </row>
    <row r="512" spans="1:41" ht="12.75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93"/>
      <c r="Q512" s="93"/>
      <c r="R512" s="93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  <c r="AD512" s="80"/>
      <c r="AE512" s="80"/>
      <c r="AF512" s="80"/>
      <c r="AG512" s="80"/>
      <c r="AH512" s="80"/>
      <c r="AI512" s="80"/>
      <c r="AJ512" s="80"/>
      <c r="AK512" s="80"/>
      <c r="AL512" s="80"/>
      <c r="AM512" s="80"/>
      <c r="AN512" s="2"/>
      <c r="AO512" s="2"/>
    </row>
    <row r="513" spans="1:41" ht="12.75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93"/>
      <c r="Q513" s="93"/>
      <c r="R513" s="93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  <c r="AD513" s="80"/>
      <c r="AE513" s="80"/>
      <c r="AF513" s="80"/>
      <c r="AG513" s="80"/>
      <c r="AH513" s="80"/>
      <c r="AI513" s="80"/>
      <c r="AJ513" s="80"/>
      <c r="AK513" s="80"/>
      <c r="AL513" s="80"/>
      <c r="AM513" s="80"/>
      <c r="AN513" s="2"/>
      <c r="AO513" s="2"/>
    </row>
    <row r="514" spans="1:41" ht="12.75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93"/>
      <c r="Q514" s="93"/>
      <c r="R514" s="93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/>
      <c r="AF514" s="80"/>
      <c r="AG514" s="80"/>
      <c r="AH514" s="80"/>
      <c r="AI514" s="80"/>
      <c r="AJ514" s="80"/>
      <c r="AK514" s="80"/>
      <c r="AL514" s="80"/>
      <c r="AM514" s="80"/>
      <c r="AN514" s="2"/>
      <c r="AO514" s="2"/>
    </row>
    <row r="515" spans="1:41" ht="12.75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93"/>
      <c r="Q515" s="93"/>
      <c r="R515" s="93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  <c r="AE515" s="80"/>
      <c r="AF515" s="80"/>
      <c r="AG515" s="80"/>
      <c r="AH515" s="80"/>
      <c r="AI515" s="80"/>
      <c r="AJ515" s="80"/>
      <c r="AK515" s="80"/>
      <c r="AL515" s="80"/>
      <c r="AM515" s="80"/>
      <c r="AN515" s="2"/>
      <c r="AO515" s="2"/>
    </row>
    <row r="516" spans="1:41" ht="12.75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93"/>
      <c r="Q516" s="93"/>
      <c r="R516" s="93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  <c r="AD516" s="80"/>
      <c r="AE516" s="80"/>
      <c r="AF516" s="80"/>
      <c r="AG516" s="80"/>
      <c r="AH516" s="80"/>
      <c r="AI516" s="80"/>
      <c r="AJ516" s="80"/>
      <c r="AK516" s="80"/>
      <c r="AL516" s="80"/>
      <c r="AM516" s="80"/>
      <c r="AN516" s="2"/>
      <c r="AO516" s="2"/>
    </row>
    <row r="517" spans="1:41" ht="12.75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93"/>
      <c r="Q517" s="93"/>
      <c r="R517" s="93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  <c r="AF517" s="80"/>
      <c r="AG517" s="80"/>
      <c r="AH517" s="80"/>
      <c r="AI517" s="80"/>
      <c r="AJ517" s="80"/>
      <c r="AK517" s="80"/>
      <c r="AL517" s="80"/>
      <c r="AM517" s="80"/>
      <c r="AN517" s="2"/>
      <c r="AO517" s="2"/>
    </row>
    <row r="518" spans="1:41" ht="12.75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93"/>
      <c r="Q518" s="93"/>
      <c r="R518" s="93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  <c r="AH518" s="80"/>
      <c r="AI518" s="80"/>
      <c r="AJ518" s="80"/>
      <c r="AK518" s="80"/>
      <c r="AL518" s="80"/>
      <c r="AM518" s="80"/>
      <c r="AN518" s="2"/>
      <c r="AO518" s="2"/>
    </row>
    <row r="519" spans="1:41" ht="12.75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93"/>
      <c r="Q519" s="93"/>
      <c r="R519" s="93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  <c r="AG519" s="80"/>
      <c r="AH519" s="80"/>
      <c r="AI519" s="80"/>
      <c r="AJ519" s="80"/>
      <c r="AK519" s="80"/>
      <c r="AL519" s="80"/>
      <c r="AM519" s="80"/>
      <c r="AN519" s="2"/>
      <c r="AO519" s="2"/>
    </row>
    <row r="520" spans="1:41" ht="12.75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93"/>
      <c r="Q520" s="93"/>
      <c r="R520" s="93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  <c r="AD520" s="80"/>
      <c r="AE520" s="80"/>
      <c r="AF520" s="80"/>
      <c r="AG520" s="80"/>
      <c r="AH520" s="80"/>
      <c r="AI520" s="80"/>
      <c r="AJ520" s="80"/>
      <c r="AK520" s="80"/>
      <c r="AL520" s="80"/>
      <c r="AM520" s="80"/>
      <c r="AN520" s="2"/>
      <c r="AO520" s="2"/>
    </row>
    <row r="521" spans="1:41" ht="12.75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93"/>
      <c r="Q521" s="93"/>
      <c r="R521" s="93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  <c r="AG521" s="80"/>
      <c r="AH521" s="80"/>
      <c r="AI521" s="80"/>
      <c r="AJ521" s="80"/>
      <c r="AK521" s="80"/>
      <c r="AL521" s="80"/>
      <c r="AM521" s="80"/>
      <c r="AN521" s="2"/>
      <c r="AO521" s="2"/>
    </row>
    <row r="522" spans="1:41" ht="12.75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93"/>
      <c r="Q522" s="93"/>
      <c r="R522" s="93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  <c r="AG522" s="80"/>
      <c r="AH522" s="80"/>
      <c r="AI522" s="80"/>
      <c r="AJ522" s="80"/>
      <c r="AK522" s="80"/>
      <c r="AL522" s="80"/>
      <c r="AM522" s="80"/>
      <c r="AN522" s="2"/>
      <c r="AO522" s="2"/>
    </row>
    <row r="523" spans="1:41" ht="12.75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93"/>
      <c r="Q523" s="93"/>
      <c r="R523" s="93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2"/>
      <c r="AO523" s="2"/>
    </row>
    <row r="524" spans="1:41" ht="12.75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93"/>
      <c r="Q524" s="93"/>
      <c r="R524" s="93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  <c r="AG524" s="80"/>
      <c r="AH524" s="80"/>
      <c r="AI524" s="80"/>
      <c r="AJ524" s="80"/>
      <c r="AK524" s="80"/>
      <c r="AL524" s="80"/>
      <c r="AM524" s="80"/>
      <c r="AN524" s="2"/>
      <c r="AO524" s="2"/>
    </row>
    <row r="525" spans="1:41" ht="12.75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93"/>
      <c r="Q525" s="93"/>
      <c r="R525" s="93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  <c r="AD525" s="80"/>
      <c r="AE525" s="80"/>
      <c r="AF525" s="80"/>
      <c r="AG525" s="80"/>
      <c r="AH525" s="80"/>
      <c r="AI525" s="80"/>
      <c r="AJ525" s="80"/>
      <c r="AK525" s="80"/>
      <c r="AL525" s="80"/>
      <c r="AM525" s="80"/>
      <c r="AN525" s="2"/>
      <c r="AO525" s="2"/>
    </row>
    <row r="526" spans="1:41" ht="12.75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93"/>
      <c r="Q526" s="93"/>
      <c r="R526" s="93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  <c r="AG526" s="80"/>
      <c r="AH526" s="80"/>
      <c r="AI526" s="80"/>
      <c r="AJ526" s="80"/>
      <c r="AK526" s="80"/>
      <c r="AL526" s="80"/>
      <c r="AM526" s="80"/>
      <c r="AN526" s="2"/>
      <c r="AO526" s="2"/>
    </row>
    <row r="527" spans="1:41" ht="12.75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93"/>
      <c r="Q527" s="93"/>
      <c r="R527" s="93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  <c r="AG527" s="80"/>
      <c r="AH527" s="80"/>
      <c r="AI527" s="80"/>
      <c r="AJ527" s="80"/>
      <c r="AK527" s="80"/>
      <c r="AL527" s="80"/>
      <c r="AM527" s="80"/>
      <c r="AN527" s="2"/>
      <c r="AO527" s="2"/>
    </row>
    <row r="528" spans="1:41" ht="12.75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93"/>
      <c r="Q528" s="93"/>
      <c r="R528" s="93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  <c r="AG528" s="80"/>
      <c r="AH528" s="80"/>
      <c r="AI528" s="80"/>
      <c r="AJ528" s="80"/>
      <c r="AK528" s="80"/>
      <c r="AL528" s="80"/>
      <c r="AM528" s="80"/>
      <c r="AN528" s="2"/>
      <c r="AO528" s="2"/>
    </row>
    <row r="529" spans="1:41" ht="12.75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93"/>
      <c r="Q529" s="93"/>
      <c r="R529" s="93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  <c r="AD529" s="80"/>
      <c r="AE529" s="80"/>
      <c r="AF529" s="80"/>
      <c r="AG529" s="80"/>
      <c r="AH529" s="80"/>
      <c r="AI529" s="80"/>
      <c r="AJ529" s="80"/>
      <c r="AK529" s="80"/>
      <c r="AL529" s="80"/>
      <c r="AM529" s="80"/>
      <c r="AN529" s="2"/>
      <c r="AO529" s="2"/>
    </row>
    <row r="530" spans="1:41" ht="12.75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93"/>
      <c r="Q530" s="93"/>
      <c r="R530" s="93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  <c r="AH530" s="80"/>
      <c r="AI530" s="80"/>
      <c r="AJ530" s="80"/>
      <c r="AK530" s="80"/>
      <c r="AL530" s="80"/>
      <c r="AM530" s="80"/>
      <c r="AN530" s="2"/>
      <c r="AO530" s="2"/>
    </row>
    <row r="531" spans="1:41" ht="12.75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93"/>
      <c r="Q531" s="93"/>
      <c r="R531" s="93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/>
      <c r="AF531" s="80"/>
      <c r="AG531" s="80"/>
      <c r="AH531" s="80"/>
      <c r="AI531" s="80"/>
      <c r="AJ531" s="80"/>
      <c r="AK531" s="80"/>
      <c r="AL531" s="80"/>
      <c r="AM531" s="80"/>
      <c r="AN531" s="2"/>
      <c r="AO531" s="2"/>
    </row>
    <row r="532" spans="1:41" ht="12.75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93"/>
      <c r="Q532" s="93"/>
      <c r="R532" s="93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  <c r="AE532" s="80"/>
      <c r="AF532" s="80"/>
      <c r="AG532" s="80"/>
      <c r="AH532" s="80"/>
      <c r="AI532" s="80"/>
      <c r="AJ532" s="80"/>
      <c r="AK532" s="80"/>
      <c r="AL532" s="80"/>
      <c r="AM532" s="80"/>
      <c r="AN532" s="2"/>
      <c r="AO532" s="2"/>
    </row>
    <row r="533" spans="1:41" ht="12.75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93"/>
      <c r="Q533" s="93"/>
      <c r="R533" s="93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  <c r="AD533" s="80"/>
      <c r="AE533" s="80"/>
      <c r="AF533" s="80"/>
      <c r="AG533" s="80"/>
      <c r="AH533" s="80"/>
      <c r="AI533" s="80"/>
      <c r="AJ533" s="80"/>
      <c r="AK533" s="80"/>
      <c r="AL533" s="80"/>
      <c r="AM533" s="80"/>
      <c r="AN533" s="2"/>
      <c r="AO533" s="2"/>
    </row>
    <row r="534" spans="1:41" ht="12.75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93"/>
      <c r="Q534" s="93"/>
      <c r="R534" s="93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  <c r="AH534" s="80"/>
      <c r="AI534" s="80"/>
      <c r="AJ534" s="80"/>
      <c r="AK534" s="80"/>
      <c r="AL534" s="80"/>
      <c r="AM534" s="80"/>
      <c r="AN534" s="2"/>
      <c r="AO534" s="2"/>
    </row>
    <row r="535" spans="1:41" ht="12.75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93"/>
      <c r="Q535" s="93"/>
      <c r="R535" s="93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80"/>
      <c r="AG535" s="80"/>
      <c r="AH535" s="80"/>
      <c r="AI535" s="80"/>
      <c r="AJ535" s="80"/>
      <c r="AK535" s="80"/>
      <c r="AL535" s="80"/>
      <c r="AM535" s="80"/>
      <c r="AN535" s="2"/>
      <c r="AO535" s="2"/>
    </row>
    <row r="536" spans="1:41" ht="12.75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93"/>
      <c r="Q536" s="93"/>
      <c r="R536" s="93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  <c r="AE536" s="80"/>
      <c r="AF536" s="80"/>
      <c r="AG536" s="80"/>
      <c r="AH536" s="80"/>
      <c r="AI536" s="80"/>
      <c r="AJ536" s="80"/>
      <c r="AK536" s="80"/>
      <c r="AL536" s="80"/>
      <c r="AM536" s="80"/>
      <c r="AN536" s="2"/>
      <c r="AO536" s="2"/>
    </row>
    <row r="537" spans="1:41" ht="12.75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93"/>
      <c r="Q537" s="93"/>
      <c r="R537" s="93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  <c r="AE537" s="80"/>
      <c r="AF537" s="80"/>
      <c r="AG537" s="80"/>
      <c r="AH537" s="80"/>
      <c r="AI537" s="80"/>
      <c r="AJ537" s="80"/>
      <c r="AK537" s="80"/>
      <c r="AL537" s="80"/>
      <c r="AM537" s="80"/>
      <c r="AN537" s="2"/>
      <c r="AO537" s="2"/>
    </row>
    <row r="538" spans="1:41" ht="12.75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93"/>
      <c r="Q538" s="93"/>
      <c r="R538" s="93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  <c r="AE538" s="80"/>
      <c r="AF538" s="80"/>
      <c r="AG538" s="80"/>
      <c r="AH538" s="80"/>
      <c r="AI538" s="80"/>
      <c r="AJ538" s="80"/>
      <c r="AK538" s="80"/>
      <c r="AL538" s="80"/>
      <c r="AM538" s="80"/>
      <c r="AN538" s="2"/>
      <c r="AO538" s="2"/>
    </row>
    <row r="539" spans="1:41" ht="12.75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93"/>
      <c r="Q539" s="93"/>
      <c r="R539" s="93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  <c r="AH539" s="80"/>
      <c r="AI539" s="80"/>
      <c r="AJ539" s="80"/>
      <c r="AK539" s="80"/>
      <c r="AL539" s="80"/>
      <c r="AM539" s="80"/>
      <c r="AN539" s="2"/>
      <c r="AO539" s="2"/>
    </row>
    <row r="540" spans="1:41" ht="12.75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93"/>
      <c r="Q540" s="93"/>
      <c r="R540" s="93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  <c r="AD540" s="80"/>
      <c r="AE540" s="80"/>
      <c r="AF540" s="80"/>
      <c r="AG540" s="80"/>
      <c r="AH540" s="80"/>
      <c r="AI540" s="80"/>
      <c r="AJ540" s="80"/>
      <c r="AK540" s="80"/>
      <c r="AL540" s="80"/>
      <c r="AM540" s="80"/>
      <c r="AN540" s="2"/>
      <c r="AO540" s="2"/>
    </row>
    <row r="541" spans="1:41" ht="12.75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93"/>
      <c r="Q541" s="93"/>
      <c r="R541" s="93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  <c r="AD541" s="80"/>
      <c r="AE541" s="80"/>
      <c r="AF541" s="80"/>
      <c r="AG541" s="80"/>
      <c r="AH541" s="80"/>
      <c r="AI541" s="80"/>
      <c r="AJ541" s="80"/>
      <c r="AK541" s="80"/>
      <c r="AL541" s="80"/>
      <c r="AM541" s="80"/>
      <c r="AN541" s="2"/>
      <c r="AO541" s="2"/>
    </row>
    <row r="542" spans="1:41" ht="12.75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93"/>
      <c r="Q542" s="93"/>
      <c r="R542" s="93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/>
      <c r="AF542" s="80"/>
      <c r="AG542" s="80"/>
      <c r="AH542" s="80"/>
      <c r="AI542" s="80"/>
      <c r="AJ542" s="80"/>
      <c r="AK542" s="80"/>
      <c r="AL542" s="80"/>
      <c r="AM542" s="80"/>
      <c r="AN542" s="2"/>
      <c r="AO542" s="2"/>
    </row>
    <row r="543" spans="1:41" ht="12.75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93"/>
      <c r="Q543" s="93"/>
      <c r="R543" s="93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  <c r="AD543" s="80"/>
      <c r="AE543" s="80"/>
      <c r="AF543" s="80"/>
      <c r="AG543" s="80"/>
      <c r="AH543" s="80"/>
      <c r="AI543" s="80"/>
      <c r="AJ543" s="80"/>
      <c r="AK543" s="80"/>
      <c r="AL543" s="80"/>
      <c r="AM543" s="80"/>
      <c r="AN543" s="2"/>
      <c r="AO543" s="2"/>
    </row>
    <row r="544" spans="1:41" ht="12.75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93"/>
      <c r="Q544" s="93"/>
      <c r="R544" s="93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  <c r="AE544" s="80"/>
      <c r="AF544" s="80"/>
      <c r="AG544" s="80"/>
      <c r="AH544" s="80"/>
      <c r="AI544" s="80"/>
      <c r="AJ544" s="80"/>
      <c r="AK544" s="80"/>
      <c r="AL544" s="80"/>
      <c r="AM544" s="80"/>
      <c r="AN544" s="2"/>
      <c r="AO544" s="2"/>
    </row>
    <row r="545" spans="1:41" ht="12.75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93"/>
      <c r="Q545" s="93"/>
      <c r="R545" s="93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  <c r="AE545" s="80"/>
      <c r="AF545" s="80"/>
      <c r="AG545" s="80"/>
      <c r="AH545" s="80"/>
      <c r="AI545" s="80"/>
      <c r="AJ545" s="80"/>
      <c r="AK545" s="80"/>
      <c r="AL545" s="80"/>
      <c r="AM545" s="80"/>
      <c r="AN545" s="2"/>
      <c r="AO545" s="2"/>
    </row>
    <row r="546" spans="1:41" ht="12.75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93"/>
      <c r="Q546" s="93"/>
      <c r="R546" s="93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  <c r="AF546" s="80"/>
      <c r="AG546" s="80"/>
      <c r="AH546" s="80"/>
      <c r="AI546" s="80"/>
      <c r="AJ546" s="80"/>
      <c r="AK546" s="80"/>
      <c r="AL546" s="80"/>
      <c r="AM546" s="80"/>
      <c r="AN546" s="2"/>
      <c r="AO546" s="2"/>
    </row>
    <row r="547" spans="1:41" ht="12.75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93"/>
      <c r="Q547" s="93"/>
      <c r="R547" s="93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  <c r="AG547" s="80"/>
      <c r="AH547" s="80"/>
      <c r="AI547" s="80"/>
      <c r="AJ547" s="80"/>
      <c r="AK547" s="80"/>
      <c r="AL547" s="80"/>
      <c r="AM547" s="80"/>
      <c r="AN547" s="2"/>
      <c r="AO547" s="2"/>
    </row>
    <row r="548" spans="1:41" ht="12.75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93"/>
      <c r="Q548" s="93"/>
      <c r="R548" s="93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  <c r="AE548" s="80"/>
      <c r="AF548" s="80"/>
      <c r="AG548" s="80"/>
      <c r="AH548" s="80"/>
      <c r="AI548" s="80"/>
      <c r="AJ548" s="80"/>
      <c r="AK548" s="80"/>
      <c r="AL548" s="80"/>
      <c r="AM548" s="80"/>
      <c r="AN548" s="2"/>
      <c r="AO548" s="2"/>
    </row>
    <row r="549" spans="1:41" ht="12.75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93"/>
      <c r="Q549" s="93"/>
      <c r="R549" s="93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  <c r="AH549" s="80"/>
      <c r="AI549" s="80"/>
      <c r="AJ549" s="80"/>
      <c r="AK549" s="80"/>
      <c r="AL549" s="80"/>
      <c r="AM549" s="80"/>
      <c r="AN549" s="2"/>
      <c r="AO549" s="2"/>
    </row>
    <row r="550" spans="1:41" ht="12.75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93"/>
      <c r="Q550" s="93"/>
      <c r="R550" s="93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  <c r="AF550" s="80"/>
      <c r="AG550" s="80"/>
      <c r="AH550" s="80"/>
      <c r="AI550" s="80"/>
      <c r="AJ550" s="80"/>
      <c r="AK550" s="80"/>
      <c r="AL550" s="80"/>
      <c r="AM550" s="80"/>
      <c r="AN550" s="2"/>
      <c r="AO550" s="2"/>
    </row>
    <row r="551" spans="1:41" ht="12.75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93"/>
      <c r="Q551" s="93"/>
      <c r="R551" s="93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  <c r="AD551" s="80"/>
      <c r="AE551" s="80"/>
      <c r="AF551" s="80"/>
      <c r="AG551" s="80"/>
      <c r="AH551" s="80"/>
      <c r="AI551" s="80"/>
      <c r="AJ551" s="80"/>
      <c r="AK551" s="80"/>
      <c r="AL551" s="80"/>
      <c r="AM551" s="80"/>
      <c r="AN551" s="2"/>
      <c r="AO551" s="2"/>
    </row>
    <row r="552" spans="1:41" ht="12.75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93"/>
      <c r="Q552" s="93"/>
      <c r="R552" s="93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  <c r="AD552" s="80"/>
      <c r="AE552" s="80"/>
      <c r="AF552" s="80"/>
      <c r="AG552" s="80"/>
      <c r="AH552" s="80"/>
      <c r="AI552" s="80"/>
      <c r="AJ552" s="80"/>
      <c r="AK552" s="80"/>
      <c r="AL552" s="80"/>
      <c r="AM552" s="80"/>
      <c r="AN552" s="2"/>
      <c r="AO552" s="2"/>
    </row>
    <row r="553" spans="1:41" ht="12.75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93"/>
      <c r="Q553" s="93"/>
      <c r="R553" s="93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  <c r="AG553" s="80"/>
      <c r="AH553" s="80"/>
      <c r="AI553" s="80"/>
      <c r="AJ553" s="80"/>
      <c r="AK553" s="80"/>
      <c r="AL553" s="80"/>
      <c r="AM553" s="80"/>
      <c r="AN553" s="2"/>
      <c r="AO553" s="2"/>
    </row>
    <row r="554" spans="1:41" ht="12.75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93"/>
      <c r="Q554" s="93"/>
      <c r="R554" s="93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  <c r="AE554" s="80"/>
      <c r="AF554" s="80"/>
      <c r="AG554" s="80"/>
      <c r="AH554" s="80"/>
      <c r="AI554" s="80"/>
      <c r="AJ554" s="80"/>
      <c r="AK554" s="80"/>
      <c r="AL554" s="80"/>
      <c r="AM554" s="80"/>
      <c r="AN554" s="2"/>
      <c r="AO554" s="2"/>
    </row>
    <row r="555" spans="1:41" ht="12.75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93"/>
      <c r="Q555" s="93"/>
      <c r="R555" s="93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  <c r="AE555" s="80"/>
      <c r="AF555" s="80"/>
      <c r="AG555" s="80"/>
      <c r="AH555" s="80"/>
      <c r="AI555" s="80"/>
      <c r="AJ555" s="80"/>
      <c r="AK555" s="80"/>
      <c r="AL555" s="80"/>
      <c r="AM555" s="80"/>
      <c r="AN555" s="2"/>
      <c r="AO555" s="2"/>
    </row>
    <row r="556" spans="1:41" ht="12.75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93"/>
      <c r="Q556" s="93"/>
      <c r="R556" s="93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  <c r="AG556" s="80"/>
      <c r="AH556" s="80"/>
      <c r="AI556" s="80"/>
      <c r="AJ556" s="80"/>
      <c r="AK556" s="80"/>
      <c r="AL556" s="80"/>
      <c r="AM556" s="80"/>
      <c r="AN556" s="2"/>
      <c r="AO556" s="2"/>
    </row>
    <row r="557" spans="1:41" ht="12.75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93"/>
      <c r="Q557" s="93"/>
      <c r="R557" s="93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  <c r="AH557" s="80"/>
      <c r="AI557" s="80"/>
      <c r="AJ557" s="80"/>
      <c r="AK557" s="80"/>
      <c r="AL557" s="80"/>
      <c r="AM557" s="80"/>
      <c r="AN557" s="2"/>
      <c r="AO557" s="2"/>
    </row>
    <row r="558" spans="1:41" ht="12.75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93"/>
      <c r="Q558" s="93"/>
      <c r="R558" s="93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  <c r="AH558" s="80"/>
      <c r="AI558" s="80"/>
      <c r="AJ558" s="80"/>
      <c r="AK558" s="80"/>
      <c r="AL558" s="80"/>
      <c r="AM558" s="80"/>
      <c r="AN558" s="2"/>
      <c r="AO558" s="2"/>
    </row>
    <row r="559" spans="1:41" ht="12.75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93"/>
      <c r="Q559" s="93"/>
      <c r="R559" s="93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  <c r="AF559" s="80"/>
      <c r="AG559" s="80"/>
      <c r="AH559" s="80"/>
      <c r="AI559" s="80"/>
      <c r="AJ559" s="80"/>
      <c r="AK559" s="80"/>
      <c r="AL559" s="80"/>
      <c r="AM559" s="80"/>
      <c r="AN559" s="2"/>
      <c r="AO559" s="2"/>
    </row>
    <row r="560" spans="1:41" ht="12.75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93"/>
      <c r="Q560" s="93"/>
      <c r="R560" s="93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  <c r="AF560" s="80"/>
      <c r="AG560" s="80"/>
      <c r="AH560" s="80"/>
      <c r="AI560" s="80"/>
      <c r="AJ560" s="80"/>
      <c r="AK560" s="80"/>
      <c r="AL560" s="80"/>
      <c r="AM560" s="80"/>
      <c r="AN560" s="2"/>
      <c r="AO560" s="2"/>
    </row>
    <row r="561" spans="1:41" ht="12.75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93"/>
      <c r="Q561" s="93"/>
      <c r="R561" s="93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  <c r="AH561" s="80"/>
      <c r="AI561" s="80"/>
      <c r="AJ561" s="80"/>
      <c r="AK561" s="80"/>
      <c r="AL561" s="80"/>
      <c r="AM561" s="80"/>
      <c r="AN561" s="2"/>
      <c r="AO561" s="2"/>
    </row>
    <row r="562" spans="1:41" ht="12.75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93"/>
      <c r="Q562" s="93"/>
      <c r="R562" s="93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  <c r="AH562" s="80"/>
      <c r="AI562" s="80"/>
      <c r="AJ562" s="80"/>
      <c r="AK562" s="80"/>
      <c r="AL562" s="80"/>
      <c r="AM562" s="80"/>
      <c r="AN562" s="2"/>
      <c r="AO562" s="2"/>
    </row>
    <row r="563" spans="1:41" ht="12.75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93"/>
      <c r="Q563" s="93"/>
      <c r="R563" s="93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2"/>
      <c r="AO563" s="2"/>
    </row>
    <row r="564" spans="1:41" ht="12.75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93"/>
      <c r="Q564" s="93"/>
      <c r="R564" s="93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  <c r="AG564" s="80"/>
      <c r="AH564" s="80"/>
      <c r="AI564" s="80"/>
      <c r="AJ564" s="80"/>
      <c r="AK564" s="80"/>
      <c r="AL564" s="80"/>
      <c r="AM564" s="80"/>
      <c r="AN564" s="2"/>
      <c r="AO564" s="2"/>
    </row>
    <row r="565" spans="1:41" ht="12.75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93"/>
      <c r="Q565" s="93"/>
      <c r="R565" s="93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  <c r="AG565" s="80"/>
      <c r="AH565" s="80"/>
      <c r="AI565" s="80"/>
      <c r="AJ565" s="80"/>
      <c r="AK565" s="80"/>
      <c r="AL565" s="80"/>
      <c r="AM565" s="80"/>
      <c r="AN565" s="2"/>
      <c r="AO565" s="2"/>
    </row>
    <row r="566" spans="1:41" ht="12.75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93"/>
      <c r="Q566" s="93"/>
      <c r="R566" s="93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  <c r="AG566" s="80"/>
      <c r="AH566" s="80"/>
      <c r="AI566" s="80"/>
      <c r="AJ566" s="80"/>
      <c r="AK566" s="80"/>
      <c r="AL566" s="80"/>
      <c r="AM566" s="80"/>
      <c r="AN566" s="2"/>
      <c r="AO566" s="2"/>
    </row>
    <row r="567" spans="1:41" ht="12.75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93"/>
      <c r="Q567" s="93"/>
      <c r="R567" s="93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  <c r="AE567" s="80"/>
      <c r="AF567" s="80"/>
      <c r="AG567" s="80"/>
      <c r="AH567" s="80"/>
      <c r="AI567" s="80"/>
      <c r="AJ567" s="80"/>
      <c r="AK567" s="80"/>
      <c r="AL567" s="80"/>
      <c r="AM567" s="80"/>
      <c r="AN567" s="2"/>
      <c r="AO567" s="2"/>
    </row>
    <row r="568" spans="1:41" ht="12.75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93"/>
      <c r="Q568" s="93"/>
      <c r="R568" s="93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/>
      <c r="AF568" s="80"/>
      <c r="AG568" s="80"/>
      <c r="AH568" s="80"/>
      <c r="AI568" s="80"/>
      <c r="AJ568" s="80"/>
      <c r="AK568" s="80"/>
      <c r="AL568" s="80"/>
      <c r="AM568" s="80"/>
      <c r="AN568" s="2"/>
      <c r="AO568" s="2"/>
    </row>
    <row r="569" spans="1:41" ht="12.75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93"/>
      <c r="Q569" s="93"/>
      <c r="R569" s="93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  <c r="AE569" s="80"/>
      <c r="AF569" s="80"/>
      <c r="AG569" s="80"/>
      <c r="AH569" s="80"/>
      <c r="AI569" s="80"/>
      <c r="AJ569" s="80"/>
      <c r="AK569" s="80"/>
      <c r="AL569" s="80"/>
      <c r="AM569" s="80"/>
      <c r="AN569" s="2"/>
      <c r="AO569" s="2"/>
    </row>
    <row r="570" spans="1:41" ht="12.75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93"/>
      <c r="Q570" s="93"/>
      <c r="R570" s="93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  <c r="AF570" s="80"/>
      <c r="AG570" s="80"/>
      <c r="AH570" s="80"/>
      <c r="AI570" s="80"/>
      <c r="AJ570" s="80"/>
      <c r="AK570" s="80"/>
      <c r="AL570" s="80"/>
      <c r="AM570" s="80"/>
      <c r="AN570" s="2"/>
      <c r="AO570" s="2"/>
    </row>
    <row r="571" spans="1:41" ht="12.75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93"/>
      <c r="Q571" s="93"/>
      <c r="R571" s="93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  <c r="AE571" s="80"/>
      <c r="AF571" s="80"/>
      <c r="AG571" s="80"/>
      <c r="AH571" s="80"/>
      <c r="AI571" s="80"/>
      <c r="AJ571" s="80"/>
      <c r="AK571" s="80"/>
      <c r="AL571" s="80"/>
      <c r="AM571" s="80"/>
      <c r="AN571" s="2"/>
      <c r="AO571" s="2"/>
    </row>
    <row r="572" spans="1:41" ht="12.75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93"/>
      <c r="Q572" s="93"/>
      <c r="R572" s="93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  <c r="AF572" s="80"/>
      <c r="AG572" s="80"/>
      <c r="AH572" s="80"/>
      <c r="AI572" s="80"/>
      <c r="AJ572" s="80"/>
      <c r="AK572" s="80"/>
      <c r="AL572" s="80"/>
      <c r="AM572" s="80"/>
      <c r="AN572" s="2"/>
      <c r="AO572" s="2"/>
    </row>
    <row r="573" spans="1:41" ht="12.75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93"/>
      <c r="Q573" s="93"/>
      <c r="R573" s="93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  <c r="AF573" s="80"/>
      <c r="AG573" s="80"/>
      <c r="AH573" s="80"/>
      <c r="AI573" s="80"/>
      <c r="AJ573" s="80"/>
      <c r="AK573" s="80"/>
      <c r="AL573" s="80"/>
      <c r="AM573" s="80"/>
      <c r="AN573" s="2"/>
      <c r="AO573" s="2"/>
    </row>
    <row r="574" spans="1:41" ht="12.75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93"/>
      <c r="Q574" s="93"/>
      <c r="R574" s="93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  <c r="AF574" s="80"/>
      <c r="AG574" s="80"/>
      <c r="AH574" s="80"/>
      <c r="AI574" s="80"/>
      <c r="AJ574" s="80"/>
      <c r="AK574" s="80"/>
      <c r="AL574" s="80"/>
      <c r="AM574" s="80"/>
      <c r="AN574" s="2"/>
      <c r="AO574" s="2"/>
    </row>
    <row r="575" spans="1:41" ht="12.75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93"/>
      <c r="Q575" s="93"/>
      <c r="R575" s="93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  <c r="AD575" s="80"/>
      <c r="AE575" s="80"/>
      <c r="AF575" s="80"/>
      <c r="AG575" s="80"/>
      <c r="AH575" s="80"/>
      <c r="AI575" s="80"/>
      <c r="AJ575" s="80"/>
      <c r="AK575" s="80"/>
      <c r="AL575" s="80"/>
      <c r="AM575" s="80"/>
      <c r="AN575" s="2"/>
      <c r="AO575" s="2"/>
    </row>
    <row r="576" spans="1:41" ht="12.75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93"/>
      <c r="Q576" s="93"/>
      <c r="R576" s="93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  <c r="AD576" s="80"/>
      <c r="AE576" s="80"/>
      <c r="AF576" s="80"/>
      <c r="AG576" s="80"/>
      <c r="AH576" s="80"/>
      <c r="AI576" s="80"/>
      <c r="AJ576" s="80"/>
      <c r="AK576" s="80"/>
      <c r="AL576" s="80"/>
      <c r="AM576" s="80"/>
      <c r="AN576" s="2"/>
      <c r="AO576" s="2"/>
    </row>
    <row r="577" spans="1:41" ht="12.75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93"/>
      <c r="Q577" s="93"/>
      <c r="R577" s="93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  <c r="AD577" s="80"/>
      <c r="AE577" s="80"/>
      <c r="AF577" s="80"/>
      <c r="AG577" s="80"/>
      <c r="AH577" s="80"/>
      <c r="AI577" s="80"/>
      <c r="AJ577" s="80"/>
      <c r="AK577" s="80"/>
      <c r="AL577" s="80"/>
      <c r="AM577" s="80"/>
      <c r="AN577" s="2"/>
      <c r="AO577" s="2"/>
    </row>
    <row r="578" spans="1:41" ht="12.75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93"/>
      <c r="Q578" s="93"/>
      <c r="R578" s="93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  <c r="AF578" s="80"/>
      <c r="AG578" s="80"/>
      <c r="AH578" s="80"/>
      <c r="AI578" s="80"/>
      <c r="AJ578" s="80"/>
      <c r="AK578" s="80"/>
      <c r="AL578" s="80"/>
      <c r="AM578" s="80"/>
      <c r="AN578" s="2"/>
      <c r="AO578" s="2"/>
    </row>
    <row r="579" spans="1:41" ht="12.75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93"/>
      <c r="Q579" s="93"/>
      <c r="R579" s="93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  <c r="AD579" s="80"/>
      <c r="AE579" s="80"/>
      <c r="AF579" s="80"/>
      <c r="AG579" s="80"/>
      <c r="AH579" s="80"/>
      <c r="AI579" s="80"/>
      <c r="AJ579" s="80"/>
      <c r="AK579" s="80"/>
      <c r="AL579" s="80"/>
      <c r="AM579" s="80"/>
      <c r="AN579" s="2"/>
      <c r="AO579" s="2"/>
    </row>
    <row r="580" spans="1:41" ht="12.75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93"/>
      <c r="Q580" s="93"/>
      <c r="R580" s="93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  <c r="AD580" s="80"/>
      <c r="AE580" s="80"/>
      <c r="AF580" s="80"/>
      <c r="AG580" s="80"/>
      <c r="AH580" s="80"/>
      <c r="AI580" s="80"/>
      <c r="AJ580" s="80"/>
      <c r="AK580" s="80"/>
      <c r="AL580" s="80"/>
      <c r="AM580" s="80"/>
      <c r="AN580" s="2"/>
      <c r="AO580" s="2"/>
    </row>
    <row r="581" spans="1:41" ht="12.75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93"/>
      <c r="Q581" s="93"/>
      <c r="R581" s="93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  <c r="AD581" s="80"/>
      <c r="AE581" s="80"/>
      <c r="AF581" s="80"/>
      <c r="AG581" s="80"/>
      <c r="AH581" s="80"/>
      <c r="AI581" s="80"/>
      <c r="AJ581" s="80"/>
      <c r="AK581" s="80"/>
      <c r="AL581" s="80"/>
      <c r="AM581" s="80"/>
      <c r="AN581" s="2"/>
      <c r="AO581" s="2"/>
    </row>
    <row r="582" spans="1:41" ht="12.75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93"/>
      <c r="Q582" s="93"/>
      <c r="R582" s="93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  <c r="AD582" s="80"/>
      <c r="AE582" s="80"/>
      <c r="AF582" s="80"/>
      <c r="AG582" s="80"/>
      <c r="AH582" s="80"/>
      <c r="AI582" s="80"/>
      <c r="AJ582" s="80"/>
      <c r="AK582" s="80"/>
      <c r="AL582" s="80"/>
      <c r="AM582" s="80"/>
      <c r="AN582" s="2"/>
      <c r="AO582" s="2"/>
    </row>
    <row r="583" spans="1:41" ht="12.75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93"/>
      <c r="Q583" s="93"/>
      <c r="R583" s="93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  <c r="AD583" s="80"/>
      <c r="AE583" s="80"/>
      <c r="AF583" s="80"/>
      <c r="AG583" s="80"/>
      <c r="AH583" s="80"/>
      <c r="AI583" s="80"/>
      <c r="AJ583" s="80"/>
      <c r="AK583" s="80"/>
      <c r="AL583" s="80"/>
      <c r="AM583" s="80"/>
      <c r="AN583" s="2"/>
      <c r="AO583" s="2"/>
    </row>
    <row r="584" spans="1:41" ht="12.75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93"/>
      <c r="Q584" s="93"/>
      <c r="R584" s="93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  <c r="AD584" s="80"/>
      <c r="AE584" s="80"/>
      <c r="AF584" s="80"/>
      <c r="AG584" s="80"/>
      <c r="AH584" s="80"/>
      <c r="AI584" s="80"/>
      <c r="AJ584" s="80"/>
      <c r="AK584" s="80"/>
      <c r="AL584" s="80"/>
      <c r="AM584" s="80"/>
      <c r="AN584" s="2"/>
      <c r="AO584" s="2"/>
    </row>
    <row r="585" spans="1:41" ht="12.75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93"/>
      <c r="Q585" s="93"/>
      <c r="R585" s="93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  <c r="AD585" s="80"/>
      <c r="AE585" s="80"/>
      <c r="AF585" s="80"/>
      <c r="AG585" s="80"/>
      <c r="AH585" s="80"/>
      <c r="AI585" s="80"/>
      <c r="AJ585" s="80"/>
      <c r="AK585" s="80"/>
      <c r="AL585" s="80"/>
      <c r="AM585" s="80"/>
      <c r="AN585" s="2"/>
      <c r="AO585" s="2"/>
    </row>
    <row r="586" spans="1:41" ht="12.75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93"/>
      <c r="Q586" s="93"/>
      <c r="R586" s="93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  <c r="AF586" s="80"/>
      <c r="AG586" s="80"/>
      <c r="AH586" s="80"/>
      <c r="AI586" s="80"/>
      <c r="AJ586" s="80"/>
      <c r="AK586" s="80"/>
      <c r="AL586" s="80"/>
      <c r="AM586" s="80"/>
      <c r="AN586" s="2"/>
      <c r="AO586" s="2"/>
    </row>
    <row r="587" spans="1:41" ht="12.75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93"/>
      <c r="Q587" s="93"/>
      <c r="R587" s="93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  <c r="AF587" s="80"/>
      <c r="AG587" s="80"/>
      <c r="AH587" s="80"/>
      <c r="AI587" s="80"/>
      <c r="AJ587" s="80"/>
      <c r="AK587" s="80"/>
      <c r="AL587" s="80"/>
      <c r="AM587" s="80"/>
      <c r="AN587" s="2"/>
      <c r="AO587" s="2"/>
    </row>
    <row r="588" spans="1:41" ht="12.75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93"/>
      <c r="Q588" s="93"/>
      <c r="R588" s="93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/>
      <c r="AF588" s="80"/>
      <c r="AG588" s="80"/>
      <c r="AH588" s="80"/>
      <c r="AI588" s="80"/>
      <c r="AJ588" s="80"/>
      <c r="AK588" s="80"/>
      <c r="AL588" s="80"/>
      <c r="AM588" s="80"/>
      <c r="AN588" s="2"/>
      <c r="AO588" s="2"/>
    </row>
    <row r="589" spans="1:41" ht="12.75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93"/>
      <c r="Q589" s="93"/>
      <c r="R589" s="93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  <c r="AF589" s="80"/>
      <c r="AG589" s="80"/>
      <c r="AH589" s="80"/>
      <c r="AI589" s="80"/>
      <c r="AJ589" s="80"/>
      <c r="AK589" s="80"/>
      <c r="AL589" s="80"/>
      <c r="AM589" s="80"/>
      <c r="AN589" s="2"/>
      <c r="AO589" s="2"/>
    </row>
    <row r="590" spans="1:41" ht="12.75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93"/>
      <c r="Q590" s="93"/>
      <c r="R590" s="93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  <c r="AF590" s="80"/>
      <c r="AG590" s="80"/>
      <c r="AH590" s="80"/>
      <c r="AI590" s="80"/>
      <c r="AJ590" s="80"/>
      <c r="AK590" s="80"/>
      <c r="AL590" s="80"/>
      <c r="AM590" s="80"/>
      <c r="AN590" s="2"/>
      <c r="AO590" s="2"/>
    </row>
    <row r="591" spans="1:41" ht="12.75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93"/>
      <c r="Q591" s="93"/>
      <c r="R591" s="93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/>
      <c r="AF591" s="80"/>
      <c r="AG591" s="80"/>
      <c r="AH591" s="80"/>
      <c r="AI591" s="80"/>
      <c r="AJ591" s="80"/>
      <c r="AK591" s="80"/>
      <c r="AL591" s="80"/>
      <c r="AM591" s="80"/>
      <c r="AN591" s="2"/>
      <c r="AO591" s="2"/>
    </row>
    <row r="592" spans="1:41" ht="12.75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93"/>
      <c r="Q592" s="93"/>
      <c r="R592" s="93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/>
      <c r="AF592" s="80"/>
      <c r="AG592" s="80"/>
      <c r="AH592" s="80"/>
      <c r="AI592" s="80"/>
      <c r="AJ592" s="80"/>
      <c r="AK592" s="80"/>
      <c r="AL592" s="80"/>
      <c r="AM592" s="80"/>
      <c r="AN592" s="2"/>
      <c r="AO592" s="2"/>
    </row>
    <row r="593" spans="1:41" ht="12.75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93"/>
      <c r="Q593" s="93"/>
      <c r="R593" s="93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  <c r="AH593" s="80"/>
      <c r="AI593" s="80"/>
      <c r="AJ593" s="80"/>
      <c r="AK593" s="80"/>
      <c r="AL593" s="80"/>
      <c r="AM593" s="80"/>
      <c r="AN593" s="2"/>
      <c r="AO593" s="2"/>
    </row>
    <row r="594" spans="1:41" ht="12.75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93"/>
      <c r="Q594" s="93"/>
      <c r="R594" s="93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  <c r="AH594" s="80"/>
      <c r="AI594" s="80"/>
      <c r="AJ594" s="80"/>
      <c r="AK594" s="80"/>
      <c r="AL594" s="80"/>
      <c r="AM594" s="80"/>
      <c r="AN594" s="2"/>
      <c r="AO594" s="2"/>
    </row>
    <row r="595" spans="1:41" ht="12.75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93"/>
      <c r="Q595" s="93"/>
      <c r="R595" s="93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  <c r="AG595" s="80"/>
      <c r="AH595" s="80"/>
      <c r="AI595" s="80"/>
      <c r="AJ595" s="80"/>
      <c r="AK595" s="80"/>
      <c r="AL595" s="80"/>
      <c r="AM595" s="80"/>
      <c r="AN595" s="2"/>
      <c r="AO595" s="2"/>
    </row>
    <row r="596" spans="1:41" ht="12.75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93"/>
      <c r="Q596" s="93"/>
      <c r="R596" s="93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  <c r="AG596" s="80"/>
      <c r="AH596" s="80"/>
      <c r="AI596" s="80"/>
      <c r="AJ596" s="80"/>
      <c r="AK596" s="80"/>
      <c r="AL596" s="80"/>
      <c r="AM596" s="80"/>
      <c r="AN596" s="2"/>
      <c r="AO596" s="2"/>
    </row>
    <row r="597" spans="1:41" ht="12.75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93"/>
      <c r="Q597" s="93"/>
      <c r="R597" s="93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  <c r="AH597" s="80"/>
      <c r="AI597" s="80"/>
      <c r="AJ597" s="80"/>
      <c r="AK597" s="80"/>
      <c r="AL597" s="80"/>
      <c r="AM597" s="80"/>
      <c r="AN597" s="2"/>
      <c r="AO597" s="2"/>
    </row>
    <row r="598" spans="1:41" ht="12.75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93"/>
      <c r="Q598" s="93"/>
      <c r="R598" s="93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  <c r="AH598" s="80"/>
      <c r="AI598" s="80"/>
      <c r="AJ598" s="80"/>
      <c r="AK598" s="80"/>
      <c r="AL598" s="80"/>
      <c r="AM598" s="80"/>
      <c r="AN598" s="2"/>
      <c r="AO598" s="2"/>
    </row>
    <row r="599" spans="1:41" ht="12.75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93"/>
      <c r="Q599" s="93"/>
      <c r="R599" s="93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  <c r="AF599" s="80"/>
      <c r="AG599" s="80"/>
      <c r="AH599" s="80"/>
      <c r="AI599" s="80"/>
      <c r="AJ599" s="80"/>
      <c r="AK599" s="80"/>
      <c r="AL599" s="80"/>
      <c r="AM599" s="80"/>
      <c r="AN599" s="2"/>
      <c r="AO599" s="2"/>
    </row>
    <row r="600" spans="1:41" ht="12.75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93"/>
      <c r="Q600" s="93"/>
      <c r="R600" s="93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  <c r="AG600" s="80"/>
      <c r="AH600" s="80"/>
      <c r="AI600" s="80"/>
      <c r="AJ600" s="80"/>
      <c r="AK600" s="80"/>
      <c r="AL600" s="80"/>
      <c r="AM600" s="80"/>
      <c r="AN600" s="2"/>
      <c r="AO600" s="2"/>
    </row>
    <row r="601" spans="1:41" ht="12.75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93"/>
      <c r="Q601" s="93"/>
      <c r="R601" s="93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  <c r="AE601" s="80"/>
      <c r="AF601" s="80"/>
      <c r="AG601" s="80"/>
      <c r="AH601" s="80"/>
      <c r="AI601" s="80"/>
      <c r="AJ601" s="80"/>
      <c r="AK601" s="80"/>
      <c r="AL601" s="80"/>
      <c r="AM601" s="80"/>
      <c r="AN601" s="2"/>
      <c r="AO601" s="2"/>
    </row>
    <row r="602" spans="1:41" ht="12.75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93"/>
      <c r="Q602" s="93"/>
      <c r="R602" s="93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  <c r="AF602" s="80"/>
      <c r="AG602" s="80"/>
      <c r="AH602" s="80"/>
      <c r="AI602" s="80"/>
      <c r="AJ602" s="80"/>
      <c r="AK602" s="80"/>
      <c r="AL602" s="80"/>
      <c r="AM602" s="80"/>
      <c r="AN602" s="2"/>
      <c r="AO602" s="2"/>
    </row>
    <row r="603" spans="1:41" ht="12.75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93"/>
      <c r="Q603" s="93"/>
      <c r="R603" s="93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2"/>
      <c r="AO603" s="2"/>
    </row>
    <row r="604" spans="1:41" ht="12.75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93"/>
      <c r="Q604" s="93"/>
      <c r="R604" s="93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  <c r="AE604" s="80"/>
      <c r="AF604" s="80"/>
      <c r="AG604" s="80"/>
      <c r="AH604" s="80"/>
      <c r="AI604" s="80"/>
      <c r="AJ604" s="80"/>
      <c r="AK604" s="80"/>
      <c r="AL604" s="80"/>
      <c r="AM604" s="80"/>
      <c r="AN604" s="2"/>
      <c r="AO604" s="2"/>
    </row>
    <row r="605" spans="1:41" ht="12.75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93"/>
      <c r="Q605" s="93"/>
      <c r="R605" s="93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  <c r="AE605" s="80"/>
      <c r="AF605" s="80"/>
      <c r="AG605" s="80"/>
      <c r="AH605" s="80"/>
      <c r="AI605" s="80"/>
      <c r="AJ605" s="80"/>
      <c r="AK605" s="80"/>
      <c r="AL605" s="80"/>
      <c r="AM605" s="80"/>
      <c r="AN605" s="2"/>
      <c r="AO605" s="2"/>
    </row>
    <row r="606" spans="1:41" ht="12.75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93"/>
      <c r="Q606" s="93"/>
      <c r="R606" s="93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  <c r="AF606" s="80"/>
      <c r="AG606" s="80"/>
      <c r="AH606" s="80"/>
      <c r="AI606" s="80"/>
      <c r="AJ606" s="80"/>
      <c r="AK606" s="80"/>
      <c r="AL606" s="80"/>
      <c r="AM606" s="80"/>
      <c r="AN606" s="2"/>
      <c r="AO606" s="2"/>
    </row>
    <row r="607" spans="1:41" ht="12.75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93"/>
      <c r="Q607" s="93"/>
      <c r="R607" s="93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/>
      <c r="AF607" s="80"/>
      <c r="AG607" s="80"/>
      <c r="AH607" s="80"/>
      <c r="AI607" s="80"/>
      <c r="AJ607" s="80"/>
      <c r="AK607" s="80"/>
      <c r="AL607" s="80"/>
      <c r="AM607" s="80"/>
      <c r="AN607" s="2"/>
      <c r="AO607" s="2"/>
    </row>
    <row r="608" spans="1:41" ht="12.75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93"/>
      <c r="Q608" s="93"/>
      <c r="R608" s="93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  <c r="AE608" s="80"/>
      <c r="AF608" s="80"/>
      <c r="AG608" s="80"/>
      <c r="AH608" s="80"/>
      <c r="AI608" s="80"/>
      <c r="AJ608" s="80"/>
      <c r="AK608" s="80"/>
      <c r="AL608" s="80"/>
      <c r="AM608" s="80"/>
      <c r="AN608" s="2"/>
      <c r="AO608" s="2"/>
    </row>
    <row r="609" spans="1:41" ht="12.75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93"/>
      <c r="Q609" s="93"/>
      <c r="R609" s="93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  <c r="AE609" s="80"/>
      <c r="AF609" s="80"/>
      <c r="AG609" s="80"/>
      <c r="AH609" s="80"/>
      <c r="AI609" s="80"/>
      <c r="AJ609" s="80"/>
      <c r="AK609" s="80"/>
      <c r="AL609" s="80"/>
      <c r="AM609" s="80"/>
      <c r="AN609" s="2"/>
      <c r="AO609" s="2"/>
    </row>
    <row r="610" spans="1:41" ht="12.75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93"/>
      <c r="Q610" s="93"/>
      <c r="R610" s="93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  <c r="AF610" s="80"/>
      <c r="AG610" s="80"/>
      <c r="AH610" s="80"/>
      <c r="AI610" s="80"/>
      <c r="AJ610" s="80"/>
      <c r="AK610" s="80"/>
      <c r="AL610" s="80"/>
      <c r="AM610" s="80"/>
      <c r="AN610" s="2"/>
      <c r="AO610" s="2"/>
    </row>
    <row r="611" spans="1:41" ht="12.75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93"/>
      <c r="Q611" s="93"/>
      <c r="R611" s="93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/>
      <c r="AF611" s="80"/>
      <c r="AG611" s="80"/>
      <c r="AH611" s="80"/>
      <c r="AI611" s="80"/>
      <c r="AJ611" s="80"/>
      <c r="AK611" s="80"/>
      <c r="AL611" s="80"/>
      <c r="AM611" s="80"/>
      <c r="AN611" s="2"/>
      <c r="AO611" s="2"/>
    </row>
    <row r="612" spans="1:41" ht="12.75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93"/>
      <c r="Q612" s="93"/>
      <c r="R612" s="93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  <c r="AE612" s="80"/>
      <c r="AF612" s="80"/>
      <c r="AG612" s="80"/>
      <c r="AH612" s="80"/>
      <c r="AI612" s="80"/>
      <c r="AJ612" s="80"/>
      <c r="AK612" s="80"/>
      <c r="AL612" s="80"/>
      <c r="AM612" s="80"/>
      <c r="AN612" s="2"/>
      <c r="AO612" s="2"/>
    </row>
    <row r="613" spans="1:41" ht="12.75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93"/>
      <c r="Q613" s="93"/>
      <c r="R613" s="93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/>
      <c r="AF613" s="80"/>
      <c r="AG613" s="80"/>
      <c r="AH613" s="80"/>
      <c r="AI613" s="80"/>
      <c r="AJ613" s="80"/>
      <c r="AK613" s="80"/>
      <c r="AL613" s="80"/>
      <c r="AM613" s="80"/>
      <c r="AN613" s="2"/>
      <c r="AO613" s="2"/>
    </row>
    <row r="614" spans="1:41" ht="12.75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93"/>
      <c r="Q614" s="93"/>
      <c r="R614" s="93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  <c r="AH614" s="80"/>
      <c r="AI614" s="80"/>
      <c r="AJ614" s="80"/>
      <c r="AK614" s="80"/>
      <c r="AL614" s="80"/>
      <c r="AM614" s="80"/>
      <c r="AN614" s="2"/>
      <c r="AO614" s="2"/>
    </row>
    <row r="615" spans="1:41" ht="12.75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93"/>
      <c r="Q615" s="93"/>
      <c r="R615" s="93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  <c r="AE615" s="80"/>
      <c r="AF615" s="80"/>
      <c r="AG615" s="80"/>
      <c r="AH615" s="80"/>
      <c r="AI615" s="80"/>
      <c r="AJ615" s="80"/>
      <c r="AK615" s="80"/>
      <c r="AL615" s="80"/>
      <c r="AM615" s="80"/>
      <c r="AN615" s="2"/>
      <c r="AO615" s="2"/>
    </row>
    <row r="616" spans="1:41" ht="12.75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93"/>
      <c r="Q616" s="93"/>
      <c r="R616" s="93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  <c r="AE616" s="80"/>
      <c r="AF616" s="80"/>
      <c r="AG616" s="80"/>
      <c r="AH616" s="80"/>
      <c r="AI616" s="80"/>
      <c r="AJ616" s="80"/>
      <c r="AK616" s="80"/>
      <c r="AL616" s="80"/>
      <c r="AM616" s="80"/>
      <c r="AN616" s="2"/>
      <c r="AO616" s="2"/>
    </row>
    <row r="617" spans="1:41" ht="12.75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93"/>
      <c r="Q617" s="93"/>
      <c r="R617" s="93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  <c r="AH617" s="80"/>
      <c r="AI617" s="80"/>
      <c r="AJ617" s="80"/>
      <c r="AK617" s="80"/>
      <c r="AL617" s="80"/>
      <c r="AM617" s="80"/>
      <c r="AN617" s="2"/>
      <c r="AO617" s="2"/>
    </row>
    <row r="618" spans="1:41" ht="12.75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93"/>
      <c r="Q618" s="93"/>
      <c r="R618" s="93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  <c r="AH618" s="80"/>
      <c r="AI618" s="80"/>
      <c r="AJ618" s="80"/>
      <c r="AK618" s="80"/>
      <c r="AL618" s="80"/>
      <c r="AM618" s="80"/>
      <c r="AN618" s="2"/>
      <c r="AO618" s="2"/>
    </row>
    <row r="619" spans="1:41" ht="12.75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93"/>
      <c r="Q619" s="93"/>
      <c r="R619" s="93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  <c r="AE619" s="80"/>
      <c r="AF619" s="80"/>
      <c r="AG619" s="80"/>
      <c r="AH619" s="80"/>
      <c r="AI619" s="80"/>
      <c r="AJ619" s="80"/>
      <c r="AK619" s="80"/>
      <c r="AL619" s="80"/>
      <c r="AM619" s="80"/>
      <c r="AN619" s="2"/>
      <c r="AO619" s="2"/>
    </row>
    <row r="620" spans="1:41" ht="12.75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93"/>
      <c r="Q620" s="93"/>
      <c r="R620" s="93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  <c r="AH620" s="80"/>
      <c r="AI620" s="80"/>
      <c r="AJ620" s="80"/>
      <c r="AK620" s="80"/>
      <c r="AL620" s="80"/>
      <c r="AM620" s="80"/>
      <c r="AN620" s="2"/>
      <c r="AO620" s="2"/>
    </row>
    <row r="621" spans="1:41" ht="12.75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93"/>
      <c r="Q621" s="93"/>
      <c r="R621" s="93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  <c r="AE621" s="80"/>
      <c r="AF621" s="80"/>
      <c r="AG621" s="80"/>
      <c r="AH621" s="80"/>
      <c r="AI621" s="80"/>
      <c r="AJ621" s="80"/>
      <c r="AK621" s="80"/>
      <c r="AL621" s="80"/>
      <c r="AM621" s="80"/>
      <c r="AN621" s="2"/>
      <c r="AO621" s="2"/>
    </row>
    <row r="622" spans="1:41" ht="12.75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93"/>
      <c r="Q622" s="93"/>
      <c r="R622" s="93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  <c r="AF622" s="80"/>
      <c r="AG622" s="80"/>
      <c r="AH622" s="80"/>
      <c r="AI622" s="80"/>
      <c r="AJ622" s="80"/>
      <c r="AK622" s="80"/>
      <c r="AL622" s="80"/>
      <c r="AM622" s="80"/>
      <c r="AN622" s="2"/>
      <c r="AO622" s="2"/>
    </row>
    <row r="623" spans="1:41" ht="12.75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93"/>
      <c r="Q623" s="93"/>
      <c r="R623" s="93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  <c r="AD623" s="80"/>
      <c r="AE623" s="80"/>
      <c r="AF623" s="80"/>
      <c r="AG623" s="80"/>
      <c r="AH623" s="80"/>
      <c r="AI623" s="80"/>
      <c r="AJ623" s="80"/>
      <c r="AK623" s="80"/>
      <c r="AL623" s="80"/>
      <c r="AM623" s="80"/>
      <c r="AN623" s="2"/>
      <c r="AO623" s="2"/>
    </row>
    <row r="624" spans="1:41" ht="12.75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93"/>
      <c r="Q624" s="93"/>
      <c r="R624" s="93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  <c r="AD624" s="80"/>
      <c r="AE624" s="80"/>
      <c r="AF624" s="80"/>
      <c r="AG624" s="80"/>
      <c r="AH624" s="80"/>
      <c r="AI624" s="80"/>
      <c r="AJ624" s="80"/>
      <c r="AK624" s="80"/>
      <c r="AL624" s="80"/>
      <c r="AM624" s="80"/>
      <c r="AN624" s="2"/>
      <c r="AO624" s="2"/>
    </row>
    <row r="625" spans="1:41" ht="12.75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93"/>
      <c r="Q625" s="93"/>
      <c r="R625" s="93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  <c r="AE625" s="80"/>
      <c r="AF625" s="80"/>
      <c r="AG625" s="80"/>
      <c r="AH625" s="80"/>
      <c r="AI625" s="80"/>
      <c r="AJ625" s="80"/>
      <c r="AK625" s="80"/>
      <c r="AL625" s="80"/>
      <c r="AM625" s="80"/>
      <c r="AN625" s="2"/>
      <c r="AO625" s="2"/>
    </row>
    <row r="626" spans="1:41" ht="12.75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93"/>
      <c r="Q626" s="93"/>
      <c r="R626" s="93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  <c r="AE626" s="80"/>
      <c r="AF626" s="80"/>
      <c r="AG626" s="80"/>
      <c r="AH626" s="80"/>
      <c r="AI626" s="80"/>
      <c r="AJ626" s="80"/>
      <c r="AK626" s="80"/>
      <c r="AL626" s="80"/>
      <c r="AM626" s="80"/>
      <c r="AN626" s="2"/>
      <c r="AO626" s="2"/>
    </row>
    <row r="627" spans="1:41" ht="12.75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93"/>
      <c r="Q627" s="93"/>
      <c r="R627" s="93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  <c r="AD627" s="80"/>
      <c r="AE627" s="80"/>
      <c r="AF627" s="80"/>
      <c r="AG627" s="80"/>
      <c r="AH627" s="80"/>
      <c r="AI627" s="80"/>
      <c r="AJ627" s="80"/>
      <c r="AK627" s="80"/>
      <c r="AL627" s="80"/>
      <c r="AM627" s="80"/>
      <c r="AN627" s="2"/>
      <c r="AO627" s="2"/>
    </row>
    <row r="628" spans="1:41" ht="12.75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93"/>
      <c r="Q628" s="93"/>
      <c r="R628" s="93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  <c r="AD628" s="80"/>
      <c r="AE628" s="80"/>
      <c r="AF628" s="80"/>
      <c r="AG628" s="80"/>
      <c r="AH628" s="80"/>
      <c r="AI628" s="80"/>
      <c r="AJ628" s="80"/>
      <c r="AK628" s="80"/>
      <c r="AL628" s="80"/>
      <c r="AM628" s="80"/>
      <c r="AN628" s="2"/>
      <c r="AO628" s="2"/>
    </row>
    <row r="629" spans="1:41" ht="12.75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93"/>
      <c r="Q629" s="93"/>
      <c r="R629" s="93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  <c r="AD629" s="80"/>
      <c r="AE629" s="80"/>
      <c r="AF629" s="80"/>
      <c r="AG629" s="80"/>
      <c r="AH629" s="80"/>
      <c r="AI629" s="80"/>
      <c r="AJ629" s="80"/>
      <c r="AK629" s="80"/>
      <c r="AL629" s="80"/>
      <c r="AM629" s="80"/>
      <c r="AN629" s="2"/>
      <c r="AO629" s="2"/>
    </row>
    <row r="630" spans="1:41" ht="12.75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93"/>
      <c r="Q630" s="93"/>
      <c r="R630" s="93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0"/>
      <c r="AF630" s="80"/>
      <c r="AG630" s="80"/>
      <c r="AH630" s="80"/>
      <c r="AI630" s="80"/>
      <c r="AJ630" s="80"/>
      <c r="AK630" s="80"/>
      <c r="AL630" s="80"/>
      <c r="AM630" s="80"/>
      <c r="AN630" s="2"/>
      <c r="AO630" s="2"/>
    </row>
    <row r="631" spans="1:41" ht="12.75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93"/>
      <c r="Q631" s="93"/>
      <c r="R631" s="93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  <c r="AD631" s="80"/>
      <c r="AE631" s="80"/>
      <c r="AF631" s="80"/>
      <c r="AG631" s="80"/>
      <c r="AH631" s="80"/>
      <c r="AI631" s="80"/>
      <c r="AJ631" s="80"/>
      <c r="AK631" s="80"/>
      <c r="AL631" s="80"/>
      <c r="AM631" s="80"/>
      <c r="AN631" s="2"/>
      <c r="AO631" s="2"/>
    </row>
    <row r="632" spans="1:41" ht="12.75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93"/>
      <c r="Q632" s="93"/>
      <c r="R632" s="93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  <c r="AD632" s="80"/>
      <c r="AE632" s="80"/>
      <c r="AF632" s="80"/>
      <c r="AG632" s="80"/>
      <c r="AH632" s="80"/>
      <c r="AI632" s="80"/>
      <c r="AJ632" s="80"/>
      <c r="AK632" s="80"/>
      <c r="AL632" s="80"/>
      <c r="AM632" s="80"/>
      <c r="AN632" s="2"/>
      <c r="AO632" s="2"/>
    </row>
    <row r="633" spans="1:41" ht="12.75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93"/>
      <c r="Q633" s="93"/>
      <c r="R633" s="93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  <c r="AD633" s="80"/>
      <c r="AE633" s="80"/>
      <c r="AF633" s="80"/>
      <c r="AG633" s="80"/>
      <c r="AH633" s="80"/>
      <c r="AI633" s="80"/>
      <c r="AJ633" s="80"/>
      <c r="AK633" s="80"/>
      <c r="AL633" s="80"/>
      <c r="AM633" s="80"/>
      <c r="AN633" s="2"/>
      <c r="AO633" s="2"/>
    </row>
    <row r="634" spans="1:41" ht="12.75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93"/>
      <c r="Q634" s="93"/>
      <c r="R634" s="93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  <c r="AD634" s="80"/>
      <c r="AE634" s="80"/>
      <c r="AF634" s="80"/>
      <c r="AG634" s="80"/>
      <c r="AH634" s="80"/>
      <c r="AI634" s="80"/>
      <c r="AJ634" s="80"/>
      <c r="AK634" s="80"/>
      <c r="AL634" s="80"/>
      <c r="AM634" s="80"/>
      <c r="AN634" s="2"/>
      <c r="AO634" s="2"/>
    </row>
    <row r="635" spans="1:41" ht="12.75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93"/>
      <c r="Q635" s="93"/>
      <c r="R635" s="93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  <c r="AD635" s="80"/>
      <c r="AE635" s="80"/>
      <c r="AF635" s="80"/>
      <c r="AG635" s="80"/>
      <c r="AH635" s="80"/>
      <c r="AI635" s="80"/>
      <c r="AJ635" s="80"/>
      <c r="AK635" s="80"/>
      <c r="AL635" s="80"/>
      <c r="AM635" s="80"/>
      <c r="AN635" s="2"/>
      <c r="AO635" s="2"/>
    </row>
    <row r="636" spans="1:41" ht="12.75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93"/>
      <c r="Q636" s="93"/>
      <c r="R636" s="93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  <c r="AE636" s="80"/>
      <c r="AF636" s="80"/>
      <c r="AG636" s="80"/>
      <c r="AH636" s="80"/>
      <c r="AI636" s="80"/>
      <c r="AJ636" s="80"/>
      <c r="AK636" s="80"/>
      <c r="AL636" s="80"/>
      <c r="AM636" s="80"/>
      <c r="AN636" s="2"/>
      <c r="AO636" s="2"/>
    </row>
    <row r="637" spans="1:41" ht="12.75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93"/>
      <c r="Q637" s="93"/>
      <c r="R637" s="93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  <c r="AD637" s="80"/>
      <c r="AE637" s="80"/>
      <c r="AF637" s="80"/>
      <c r="AG637" s="80"/>
      <c r="AH637" s="80"/>
      <c r="AI637" s="80"/>
      <c r="AJ637" s="80"/>
      <c r="AK637" s="80"/>
      <c r="AL637" s="80"/>
      <c r="AM637" s="80"/>
      <c r="AN637" s="2"/>
      <c r="AO637" s="2"/>
    </row>
    <row r="638" spans="1:41" ht="12.75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93"/>
      <c r="Q638" s="93"/>
      <c r="R638" s="93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  <c r="AD638" s="80"/>
      <c r="AE638" s="80"/>
      <c r="AF638" s="80"/>
      <c r="AG638" s="80"/>
      <c r="AH638" s="80"/>
      <c r="AI638" s="80"/>
      <c r="AJ638" s="80"/>
      <c r="AK638" s="80"/>
      <c r="AL638" s="80"/>
      <c r="AM638" s="80"/>
      <c r="AN638" s="2"/>
      <c r="AO638" s="2"/>
    </row>
    <row r="639" spans="1:41" ht="12.75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93"/>
      <c r="Q639" s="93"/>
      <c r="R639" s="93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  <c r="AE639" s="80"/>
      <c r="AF639" s="80"/>
      <c r="AG639" s="80"/>
      <c r="AH639" s="80"/>
      <c r="AI639" s="80"/>
      <c r="AJ639" s="80"/>
      <c r="AK639" s="80"/>
      <c r="AL639" s="80"/>
      <c r="AM639" s="80"/>
      <c r="AN639" s="2"/>
      <c r="AO639" s="2"/>
    </row>
    <row r="640" spans="1:41" ht="12.75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93"/>
      <c r="Q640" s="93"/>
      <c r="R640" s="93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  <c r="AD640" s="80"/>
      <c r="AE640" s="80"/>
      <c r="AF640" s="80"/>
      <c r="AG640" s="80"/>
      <c r="AH640" s="80"/>
      <c r="AI640" s="80"/>
      <c r="AJ640" s="80"/>
      <c r="AK640" s="80"/>
      <c r="AL640" s="80"/>
      <c r="AM640" s="80"/>
      <c r="AN640" s="2"/>
      <c r="AO640" s="2"/>
    </row>
    <row r="641" spans="1:41" ht="12.75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93"/>
      <c r="Q641" s="93"/>
      <c r="R641" s="93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  <c r="AE641" s="80"/>
      <c r="AF641" s="80"/>
      <c r="AG641" s="80"/>
      <c r="AH641" s="80"/>
      <c r="AI641" s="80"/>
      <c r="AJ641" s="80"/>
      <c r="AK641" s="80"/>
      <c r="AL641" s="80"/>
      <c r="AM641" s="80"/>
      <c r="AN641" s="2"/>
      <c r="AO641" s="2"/>
    </row>
    <row r="642" spans="1:41" ht="12.75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93"/>
      <c r="Q642" s="93"/>
      <c r="R642" s="93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  <c r="AD642" s="80"/>
      <c r="AE642" s="80"/>
      <c r="AF642" s="80"/>
      <c r="AG642" s="80"/>
      <c r="AH642" s="80"/>
      <c r="AI642" s="80"/>
      <c r="AJ642" s="80"/>
      <c r="AK642" s="80"/>
      <c r="AL642" s="80"/>
      <c r="AM642" s="80"/>
      <c r="AN642" s="2"/>
      <c r="AO642" s="2"/>
    </row>
    <row r="643" spans="1:41" ht="12.75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93"/>
      <c r="Q643" s="93"/>
      <c r="R643" s="93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2"/>
      <c r="AO643" s="2"/>
    </row>
    <row r="644" spans="1:41" ht="12.75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93"/>
      <c r="Q644" s="93"/>
      <c r="R644" s="93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  <c r="AD644" s="80"/>
      <c r="AE644" s="80"/>
      <c r="AF644" s="80"/>
      <c r="AG644" s="80"/>
      <c r="AH644" s="80"/>
      <c r="AI644" s="80"/>
      <c r="AJ644" s="80"/>
      <c r="AK644" s="80"/>
      <c r="AL644" s="80"/>
      <c r="AM644" s="80"/>
      <c r="AN644" s="2"/>
      <c r="AO644" s="2"/>
    </row>
    <row r="645" spans="1:41" ht="12.75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93"/>
      <c r="Q645" s="93"/>
      <c r="R645" s="93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  <c r="AE645" s="80"/>
      <c r="AF645" s="80"/>
      <c r="AG645" s="80"/>
      <c r="AH645" s="80"/>
      <c r="AI645" s="80"/>
      <c r="AJ645" s="80"/>
      <c r="AK645" s="80"/>
      <c r="AL645" s="80"/>
      <c r="AM645" s="80"/>
      <c r="AN645" s="2"/>
      <c r="AO645" s="2"/>
    </row>
    <row r="646" spans="1:41" ht="12.75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93"/>
      <c r="Q646" s="93"/>
      <c r="R646" s="93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  <c r="AD646" s="80"/>
      <c r="AE646" s="80"/>
      <c r="AF646" s="80"/>
      <c r="AG646" s="80"/>
      <c r="AH646" s="80"/>
      <c r="AI646" s="80"/>
      <c r="AJ646" s="80"/>
      <c r="AK646" s="80"/>
      <c r="AL646" s="80"/>
      <c r="AM646" s="80"/>
      <c r="AN646" s="2"/>
      <c r="AO646" s="2"/>
    </row>
    <row r="647" spans="1:41" ht="12.75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93"/>
      <c r="Q647" s="93"/>
      <c r="R647" s="93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  <c r="AH647" s="80"/>
      <c r="AI647" s="80"/>
      <c r="AJ647" s="80"/>
      <c r="AK647" s="80"/>
      <c r="AL647" s="80"/>
      <c r="AM647" s="80"/>
      <c r="AN647" s="2"/>
      <c r="AO647" s="2"/>
    </row>
    <row r="648" spans="1:41" ht="12.75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93"/>
      <c r="Q648" s="93"/>
      <c r="R648" s="93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  <c r="AD648" s="80"/>
      <c r="AE648" s="80"/>
      <c r="AF648" s="80"/>
      <c r="AG648" s="80"/>
      <c r="AH648" s="80"/>
      <c r="AI648" s="80"/>
      <c r="AJ648" s="80"/>
      <c r="AK648" s="80"/>
      <c r="AL648" s="80"/>
      <c r="AM648" s="80"/>
      <c r="AN648" s="2"/>
      <c r="AO648" s="2"/>
    </row>
    <row r="649" spans="1:41" ht="12.75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93"/>
      <c r="Q649" s="93"/>
      <c r="R649" s="93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  <c r="AD649" s="80"/>
      <c r="AE649" s="80"/>
      <c r="AF649" s="80"/>
      <c r="AG649" s="80"/>
      <c r="AH649" s="80"/>
      <c r="AI649" s="80"/>
      <c r="AJ649" s="80"/>
      <c r="AK649" s="80"/>
      <c r="AL649" s="80"/>
      <c r="AM649" s="80"/>
      <c r="AN649" s="2"/>
      <c r="AO649" s="2"/>
    </row>
    <row r="650" spans="1:41" ht="12.75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93"/>
      <c r="Q650" s="93"/>
      <c r="R650" s="93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  <c r="AD650" s="80"/>
      <c r="AE650" s="80"/>
      <c r="AF650" s="80"/>
      <c r="AG650" s="80"/>
      <c r="AH650" s="80"/>
      <c r="AI650" s="80"/>
      <c r="AJ650" s="80"/>
      <c r="AK650" s="80"/>
      <c r="AL650" s="80"/>
      <c r="AM650" s="80"/>
      <c r="AN650" s="2"/>
      <c r="AO650" s="2"/>
    </row>
    <row r="651" spans="1:41" ht="12.75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93"/>
      <c r="Q651" s="93"/>
      <c r="R651" s="93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  <c r="AD651" s="80"/>
      <c r="AE651" s="80"/>
      <c r="AF651" s="80"/>
      <c r="AG651" s="80"/>
      <c r="AH651" s="80"/>
      <c r="AI651" s="80"/>
      <c r="AJ651" s="80"/>
      <c r="AK651" s="80"/>
      <c r="AL651" s="80"/>
      <c r="AM651" s="80"/>
      <c r="AN651" s="2"/>
      <c r="AO651" s="2"/>
    </row>
    <row r="652" spans="1:41" ht="12.75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93"/>
      <c r="Q652" s="93"/>
      <c r="R652" s="93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  <c r="AD652" s="80"/>
      <c r="AE652" s="80"/>
      <c r="AF652" s="80"/>
      <c r="AG652" s="80"/>
      <c r="AH652" s="80"/>
      <c r="AI652" s="80"/>
      <c r="AJ652" s="80"/>
      <c r="AK652" s="80"/>
      <c r="AL652" s="80"/>
      <c r="AM652" s="80"/>
      <c r="AN652" s="2"/>
      <c r="AO652" s="2"/>
    </row>
    <row r="653" spans="1:41" ht="12.75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93"/>
      <c r="Q653" s="93"/>
      <c r="R653" s="93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  <c r="AD653" s="80"/>
      <c r="AE653" s="80"/>
      <c r="AF653" s="80"/>
      <c r="AG653" s="80"/>
      <c r="AH653" s="80"/>
      <c r="AI653" s="80"/>
      <c r="AJ653" s="80"/>
      <c r="AK653" s="80"/>
      <c r="AL653" s="80"/>
      <c r="AM653" s="80"/>
      <c r="AN653" s="2"/>
      <c r="AO653" s="2"/>
    </row>
    <row r="654" spans="1:41" ht="12.75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93"/>
      <c r="Q654" s="93"/>
      <c r="R654" s="93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  <c r="AD654" s="80"/>
      <c r="AE654" s="80"/>
      <c r="AF654" s="80"/>
      <c r="AG654" s="80"/>
      <c r="AH654" s="80"/>
      <c r="AI654" s="80"/>
      <c r="AJ654" s="80"/>
      <c r="AK654" s="80"/>
      <c r="AL654" s="80"/>
      <c r="AM654" s="80"/>
      <c r="AN654" s="2"/>
      <c r="AO654" s="2"/>
    </row>
    <row r="655" spans="1:41" ht="12.75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93"/>
      <c r="Q655" s="93"/>
      <c r="R655" s="93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  <c r="AD655" s="80"/>
      <c r="AE655" s="80"/>
      <c r="AF655" s="80"/>
      <c r="AG655" s="80"/>
      <c r="AH655" s="80"/>
      <c r="AI655" s="80"/>
      <c r="AJ655" s="80"/>
      <c r="AK655" s="80"/>
      <c r="AL655" s="80"/>
      <c r="AM655" s="80"/>
      <c r="AN655" s="2"/>
      <c r="AO655" s="2"/>
    </row>
    <row r="656" spans="1:41" ht="12.75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93"/>
      <c r="Q656" s="93"/>
      <c r="R656" s="93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  <c r="AD656" s="80"/>
      <c r="AE656" s="80"/>
      <c r="AF656" s="80"/>
      <c r="AG656" s="80"/>
      <c r="AH656" s="80"/>
      <c r="AI656" s="80"/>
      <c r="AJ656" s="80"/>
      <c r="AK656" s="80"/>
      <c r="AL656" s="80"/>
      <c r="AM656" s="80"/>
      <c r="AN656" s="2"/>
      <c r="AO656" s="2"/>
    </row>
    <row r="657" spans="1:41" ht="12.75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93"/>
      <c r="Q657" s="93"/>
      <c r="R657" s="93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  <c r="AD657" s="80"/>
      <c r="AE657" s="80"/>
      <c r="AF657" s="80"/>
      <c r="AG657" s="80"/>
      <c r="AH657" s="80"/>
      <c r="AI657" s="80"/>
      <c r="AJ657" s="80"/>
      <c r="AK657" s="80"/>
      <c r="AL657" s="80"/>
      <c r="AM657" s="80"/>
      <c r="AN657" s="2"/>
      <c r="AO657" s="2"/>
    </row>
    <row r="658" spans="1:41" ht="12.75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93"/>
      <c r="Q658" s="93"/>
      <c r="R658" s="93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  <c r="AD658" s="80"/>
      <c r="AE658" s="80"/>
      <c r="AF658" s="80"/>
      <c r="AG658" s="80"/>
      <c r="AH658" s="80"/>
      <c r="AI658" s="80"/>
      <c r="AJ658" s="80"/>
      <c r="AK658" s="80"/>
      <c r="AL658" s="80"/>
      <c r="AM658" s="80"/>
      <c r="AN658" s="2"/>
      <c r="AO658" s="2"/>
    </row>
    <row r="659" spans="1:41" ht="12.75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93"/>
      <c r="Q659" s="93"/>
      <c r="R659" s="93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  <c r="AD659" s="80"/>
      <c r="AE659" s="80"/>
      <c r="AF659" s="80"/>
      <c r="AG659" s="80"/>
      <c r="AH659" s="80"/>
      <c r="AI659" s="80"/>
      <c r="AJ659" s="80"/>
      <c r="AK659" s="80"/>
      <c r="AL659" s="80"/>
      <c r="AM659" s="80"/>
      <c r="AN659" s="2"/>
      <c r="AO659" s="2"/>
    </row>
    <row r="660" spans="1:41" ht="12.75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93"/>
      <c r="Q660" s="93"/>
      <c r="R660" s="93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  <c r="AD660" s="80"/>
      <c r="AE660" s="80"/>
      <c r="AF660" s="80"/>
      <c r="AG660" s="80"/>
      <c r="AH660" s="80"/>
      <c r="AI660" s="80"/>
      <c r="AJ660" s="80"/>
      <c r="AK660" s="80"/>
      <c r="AL660" s="80"/>
      <c r="AM660" s="80"/>
      <c r="AN660" s="2"/>
      <c r="AO660" s="2"/>
    </row>
    <row r="661" spans="1:41" ht="12.75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93"/>
      <c r="Q661" s="93"/>
      <c r="R661" s="93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  <c r="AD661" s="80"/>
      <c r="AE661" s="80"/>
      <c r="AF661" s="80"/>
      <c r="AG661" s="80"/>
      <c r="AH661" s="80"/>
      <c r="AI661" s="80"/>
      <c r="AJ661" s="80"/>
      <c r="AK661" s="80"/>
      <c r="AL661" s="80"/>
      <c r="AM661" s="80"/>
      <c r="AN661" s="2"/>
      <c r="AO661" s="2"/>
    </row>
    <row r="662" spans="1:41" ht="12.75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93"/>
      <c r="Q662" s="93"/>
      <c r="R662" s="93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  <c r="AD662" s="80"/>
      <c r="AE662" s="80"/>
      <c r="AF662" s="80"/>
      <c r="AG662" s="80"/>
      <c r="AH662" s="80"/>
      <c r="AI662" s="80"/>
      <c r="AJ662" s="80"/>
      <c r="AK662" s="80"/>
      <c r="AL662" s="80"/>
      <c r="AM662" s="80"/>
      <c r="AN662" s="2"/>
      <c r="AO662" s="2"/>
    </row>
    <row r="663" spans="1:41" ht="12.75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93"/>
      <c r="Q663" s="93"/>
      <c r="R663" s="93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  <c r="AD663" s="80"/>
      <c r="AE663" s="80"/>
      <c r="AF663" s="80"/>
      <c r="AG663" s="80"/>
      <c r="AH663" s="80"/>
      <c r="AI663" s="80"/>
      <c r="AJ663" s="80"/>
      <c r="AK663" s="80"/>
      <c r="AL663" s="80"/>
      <c r="AM663" s="80"/>
      <c r="AN663" s="2"/>
      <c r="AO663" s="2"/>
    </row>
    <row r="664" spans="1:41" ht="12.75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93"/>
      <c r="Q664" s="93"/>
      <c r="R664" s="93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  <c r="AD664" s="80"/>
      <c r="AE664" s="80"/>
      <c r="AF664" s="80"/>
      <c r="AG664" s="80"/>
      <c r="AH664" s="80"/>
      <c r="AI664" s="80"/>
      <c r="AJ664" s="80"/>
      <c r="AK664" s="80"/>
      <c r="AL664" s="80"/>
      <c r="AM664" s="80"/>
      <c r="AN664" s="2"/>
      <c r="AO664" s="2"/>
    </row>
    <row r="665" spans="1:41" ht="12.75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93"/>
      <c r="Q665" s="93"/>
      <c r="R665" s="93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  <c r="AD665" s="80"/>
      <c r="AE665" s="80"/>
      <c r="AF665" s="80"/>
      <c r="AG665" s="80"/>
      <c r="AH665" s="80"/>
      <c r="AI665" s="80"/>
      <c r="AJ665" s="80"/>
      <c r="AK665" s="80"/>
      <c r="AL665" s="80"/>
      <c r="AM665" s="80"/>
      <c r="AN665" s="2"/>
      <c r="AO665" s="2"/>
    </row>
    <row r="666" spans="1:41" ht="12.75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93"/>
      <c r="Q666" s="93"/>
      <c r="R666" s="93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  <c r="AE666" s="80"/>
      <c r="AF666" s="80"/>
      <c r="AG666" s="80"/>
      <c r="AH666" s="80"/>
      <c r="AI666" s="80"/>
      <c r="AJ666" s="80"/>
      <c r="AK666" s="80"/>
      <c r="AL666" s="80"/>
      <c r="AM666" s="80"/>
      <c r="AN666" s="2"/>
      <c r="AO666" s="2"/>
    </row>
    <row r="667" spans="1:41" ht="12.75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93"/>
      <c r="Q667" s="93"/>
      <c r="R667" s="93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  <c r="AD667" s="80"/>
      <c r="AE667" s="80"/>
      <c r="AF667" s="80"/>
      <c r="AG667" s="80"/>
      <c r="AH667" s="80"/>
      <c r="AI667" s="80"/>
      <c r="AJ667" s="80"/>
      <c r="AK667" s="80"/>
      <c r="AL667" s="80"/>
      <c r="AM667" s="80"/>
      <c r="AN667" s="2"/>
      <c r="AO667" s="2"/>
    </row>
    <row r="668" spans="1:41" ht="12.75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93"/>
      <c r="Q668" s="93"/>
      <c r="R668" s="93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  <c r="AD668" s="80"/>
      <c r="AE668" s="80"/>
      <c r="AF668" s="80"/>
      <c r="AG668" s="80"/>
      <c r="AH668" s="80"/>
      <c r="AI668" s="80"/>
      <c r="AJ668" s="80"/>
      <c r="AK668" s="80"/>
      <c r="AL668" s="80"/>
      <c r="AM668" s="80"/>
      <c r="AN668" s="2"/>
      <c r="AO668" s="2"/>
    </row>
    <row r="669" spans="1:41" ht="12.75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93"/>
      <c r="Q669" s="93"/>
      <c r="R669" s="93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  <c r="AD669" s="80"/>
      <c r="AE669" s="80"/>
      <c r="AF669" s="80"/>
      <c r="AG669" s="80"/>
      <c r="AH669" s="80"/>
      <c r="AI669" s="80"/>
      <c r="AJ669" s="80"/>
      <c r="AK669" s="80"/>
      <c r="AL669" s="80"/>
      <c r="AM669" s="80"/>
      <c r="AN669" s="2"/>
      <c r="AO669" s="2"/>
    </row>
    <row r="670" spans="1:41" ht="12.75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93"/>
      <c r="Q670" s="93"/>
      <c r="R670" s="93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  <c r="AH670" s="80"/>
      <c r="AI670" s="80"/>
      <c r="AJ670" s="80"/>
      <c r="AK670" s="80"/>
      <c r="AL670" s="80"/>
      <c r="AM670" s="80"/>
      <c r="AN670" s="2"/>
      <c r="AO670" s="2"/>
    </row>
    <row r="671" spans="1:41" ht="12.75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93"/>
      <c r="Q671" s="93"/>
      <c r="R671" s="93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  <c r="AH671" s="80"/>
      <c r="AI671" s="80"/>
      <c r="AJ671" s="80"/>
      <c r="AK671" s="80"/>
      <c r="AL671" s="80"/>
      <c r="AM671" s="80"/>
      <c r="AN671" s="2"/>
      <c r="AO671" s="2"/>
    </row>
    <row r="672" spans="1:41" ht="12.75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93"/>
      <c r="Q672" s="93"/>
      <c r="R672" s="93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  <c r="AD672" s="80"/>
      <c r="AE672" s="80"/>
      <c r="AF672" s="80"/>
      <c r="AG672" s="80"/>
      <c r="AH672" s="80"/>
      <c r="AI672" s="80"/>
      <c r="AJ672" s="80"/>
      <c r="AK672" s="80"/>
      <c r="AL672" s="80"/>
      <c r="AM672" s="80"/>
      <c r="AN672" s="2"/>
      <c r="AO672" s="2"/>
    </row>
    <row r="673" spans="1:41" ht="12.75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93"/>
      <c r="Q673" s="93"/>
      <c r="R673" s="93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  <c r="AD673" s="80"/>
      <c r="AE673" s="80"/>
      <c r="AF673" s="80"/>
      <c r="AG673" s="80"/>
      <c r="AH673" s="80"/>
      <c r="AI673" s="80"/>
      <c r="AJ673" s="80"/>
      <c r="AK673" s="80"/>
      <c r="AL673" s="80"/>
      <c r="AM673" s="80"/>
      <c r="AN673" s="2"/>
      <c r="AO673" s="2"/>
    </row>
    <row r="674" spans="1:41" ht="12.75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93"/>
      <c r="Q674" s="93"/>
      <c r="R674" s="93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  <c r="AD674" s="80"/>
      <c r="AE674" s="80"/>
      <c r="AF674" s="80"/>
      <c r="AG674" s="80"/>
      <c r="AH674" s="80"/>
      <c r="AI674" s="80"/>
      <c r="AJ674" s="80"/>
      <c r="AK674" s="80"/>
      <c r="AL674" s="80"/>
      <c r="AM674" s="80"/>
      <c r="AN674" s="2"/>
      <c r="AO674" s="2"/>
    </row>
    <row r="675" spans="1:41" ht="12.75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93"/>
      <c r="Q675" s="93"/>
      <c r="R675" s="93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  <c r="AD675" s="80"/>
      <c r="AE675" s="80"/>
      <c r="AF675" s="80"/>
      <c r="AG675" s="80"/>
      <c r="AH675" s="80"/>
      <c r="AI675" s="80"/>
      <c r="AJ675" s="80"/>
      <c r="AK675" s="80"/>
      <c r="AL675" s="80"/>
      <c r="AM675" s="80"/>
      <c r="AN675" s="2"/>
      <c r="AO675" s="2"/>
    </row>
    <row r="676" spans="1:41" ht="12.75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93"/>
      <c r="Q676" s="93"/>
      <c r="R676" s="93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  <c r="AD676" s="80"/>
      <c r="AE676" s="80"/>
      <c r="AF676" s="80"/>
      <c r="AG676" s="80"/>
      <c r="AH676" s="80"/>
      <c r="AI676" s="80"/>
      <c r="AJ676" s="80"/>
      <c r="AK676" s="80"/>
      <c r="AL676" s="80"/>
      <c r="AM676" s="80"/>
      <c r="AN676" s="2"/>
      <c r="AO676" s="2"/>
    </row>
    <row r="677" spans="1:41" ht="12.75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93"/>
      <c r="Q677" s="93"/>
      <c r="R677" s="93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  <c r="AD677" s="80"/>
      <c r="AE677" s="80"/>
      <c r="AF677" s="80"/>
      <c r="AG677" s="80"/>
      <c r="AH677" s="80"/>
      <c r="AI677" s="80"/>
      <c r="AJ677" s="80"/>
      <c r="AK677" s="80"/>
      <c r="AL677" s="80"/>
      <c r="AM677" s="80"/>
      <c r="AN677" s="2"/>
      <c r="AO677" s="2"/>
    </row>
    <row r="678" spans="1:41" ht="12.75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93"/>
      <c r="Q678" s="93"/>
      <c r="R678" s="93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  <c r="AD678" s="80"/>
      <c r="AE678" s="80"/>
      <c r="AF678" s="80"/>
      <c r="AG678" s="80"/>
      <c r="AH678" s="80"/>
      <c r="AI678" s="80"/>
      <c r="AJ678" s="80"/>
      <c r="AK678" s="80"/>
      <c r="AL678" s="80"/>
      <c r="AM678" s="80"/>
      <c r="AN678" s="2"/>
      <c r="AO678" s="2"/>
    </row>
    <row r="679" spans="1:41" ht="12.75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93"/>
      <c r="Q679" s="93"/>
      <c r="R679" s="93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  <c r="AD679" s="80"/>
      <c r="AE679" s="80"/>
      <c r="AF679" s="80"/>
      <c r="AG679" s="80"/>
      <c r="AH679" s="80"/>
      <c r="AI679" s="80"/>
      <c r="AJ679" s="80"/>
      <c r="AK679" s="80"/>
      <c r="AL679" s="80"/>
      <c r="AM679" s="80"/>
      <c r="AN679" s="2"/>
      <c r="AO679" s="2"/>
    </row>
    <row r="680" spans="1:41" ht="12.75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93"/>
      <c r="Q680" s="93"/>
      <c r="R680" s="93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  <c r="AD680" s="80"/>
      <c r="AE680" s="80"/>
      <c r="AF680" s="80"/>
      <c r="AG680" s="80"/>
      <c r="AH680" s="80"/>
      <c r="AI680" s="80"/>
      <c r="AJ680" s="80"/>
      <c r="AK680" s="80"/>
      <c r="AL680" s="80"/>
      <c r="AM680" s="80"/>
      <c r="AN680" s="2"/>
      <c r="AO680" s="2"/>
    </row>
    <row r="681" spans="1:41" ht="12.75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93"/>
      <c r="Q681" s="93"/>
      <c r="R681" s="93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  <c r="AD681" s="80"/>
      <c r="AE681" s="80"/>
      <c r="AF681" s="80"/>
      <c r="AG681" s="80"/>
      <c r="AH681" s="80"/>
      <c r="AI681" s="80"/>
      <c r="AJ681" s="80"/>
      <c r="AK681" s="80"/>
      <c r="AL681" s="80"/>
      <c r="AM681" s="80"/>
      <c r="AN681" s="2"/>
      <c r="AO681" s="2"/>
    </row>
    <row r="682" spans="1:41" ht="12.75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93"/>
      <c r="Q682" s="93"/>
      <c r="R682" s="93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  <c r="AD682" s="80"/>
      <c r="AE682" s="80"/>
      <c r="AF682" s="80"/>
      <c r="AG682" s="80"/>
      <c r="AH682" s="80"/>
      <c r="AI682" s="80"/>
      <c r="AJ682" s="80"/>
      <c r="AK682" s="80"/>
      <c r="AL682" s="80"/>
      <c r="AM682" s="80"/>
      <c r="AN682" s="2"/>
      <c r="AO682" s="2"/>
    </row>
    <row r="683" spans="1:41" ht="12.75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93"/>
      <c r="Q683" s="93"/>
      <c r="R683" s="93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2"/>
      <c r="AO683" s="2"/>
    </row>
    <row r="684" spans="1:41" ht="12.75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93"/>
      <c r="Q684" s="93"/>
      <c r="R684" s="93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  <c r="AD684" s="80"/>
      <c r="AE684" s="80"/>
      <c r="AF684" s="80"/>
      <c r="AG684" s="80"/>
      <c r="AH684" s="80"/>
      <c r="AI684" s="80"/>
      <c r="AJ684" s="80"/>
      <c r="AK684" s="80"/>
      <c r="AL684" s="80"/>
      <c r="AM684" s="80"/>
      <c r="AN684" s="2"/>
      <c r="AO684" s="2"/>
    </row>
    <row r="685" spans="1:41" ht="12.75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93"/>
      <c r="Q685" s="93"/>
      <c r="R685" s="93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  <c r="AD685" s="80"/>
      <c r="AE685" s="80"/>
      <c r="AF685" s="80"/>
      <c r="AG685" s="80"/>
      <c r="AH685" s="80"/>
      <c r="AI685" s="80"/>
      <c r="AJ685" s="80"/>
      <c r="AK685" s="80"/>
      <c r="AL685" s="80"/>
      <c r="AM685" s="80"/>
      <c r="AN685" s="2"/>
      <c r="AO685" s="2"/>
    </row>
    <row r="686" spans="1:41" ht="12.75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93"/>
      <c r="Q686" s="93"/>
      <c r="R686" s="93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  <c r="AD686" s="80"/>
      <c r="AE686" s="80"/>
      <c r="AF686" s="80"/>
      <c r="AG686" s="80"/>
      <c r="AH686" s="80"/>
      <c r="AI686" s="80"/>
      <c r="AJ686" s="80"/>
      <c r="AK686" s="80"/>
      <c r="AL686" s="80"/>
      <c r="AM686" s="80"/>
      <c r="AN686" s="2"/>
      <c r="AO686" s="2"/>
    </row>
    <row r="687" spans="1:41" ht="12.75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93"/>
      <c r="Q687" s="93"/>
      <c r="R687" s="93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  <c r="AD687" s="80"/>
      <c r="AE687" s="80"/>
      <c r="AF687" s="80"/>
      <c r="AG687" s="80"/>
      <c r="AH687" s="80"/>
      <c r="AI687" s="80"/>
      <c r="AJ687" s="80"/>
      <c r="AK687" s="80"/>
      <c r="AL687" s="80"/>
      <c r="AM687" s="80"/>
      <c r="AN687" s="2"/>
      <c r="AO687" s="2"/>
    </row>
    <row r="688" spans="1:41" ht="12.75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93"/>
      <c r="Q688" s="93"/>
      <c r="R688" s="93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  <c r="AD688" s="80"/>
      <c r="AE688" s="80"/>
      <c r="AF688" s="80"/>
      <c r="AG688" s="80"/>
      <c r="AH688" s="80"/>
      <c r="AI688" s="80"/>
      <c r="AJ688" s="80"/>
      <c r="AK688" s="80"/>
      <c r="AL688" s="80"/>
      <c r="AM688" s="80"/>
      <c r="AN688" s="2"/>
      <c r="AO688" s="2"/>
    </row>
    <row r="689" spans="1:41" ht="12.75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93"/>
      <c r="Q689" s="93"/>
      <c r="R689" s="93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  <c r="AD689" s="80"/>
      <c r="AE689" s="80"/>
      <c r="AF689" s="80"/>
      <c r="AG689" s="80"/>
      <c r="AH689" s="80"/>
      <c r="AI689" s="80"/>
      <c r="AJ689" s="80"/>
      <c r="AK689" s="80"/>
      <c r="AL689" s="80"/>
      <c r="AM689" s="80"/>
      <c r="AN689" s="2"/>
      <c r="AO689" s="2"/>
    </row>
    <row r="690" spans="1:41" ht="12.75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93"/>
      <c r="Q690" s="93"/>
      <c r="R690" s="93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  <c r="AD690" s="80"/>
      <c r="AE690" s="80"/>
      <c r="AF690" s="80"/>
      <c r="AG690" s="80"/>
      <c r="AH690" s="80"/>
      <c r="AI690" s="80"/>
      <c r="AJ690" s="80"/>
      <c r="AK690" s="80"/>
      <c r="AL690" s="80"/>
      <c r="AM690" s="80"/>
      <c r="AN690" s="2"/>
      <c r="AO690" s="2"/>
    </row>
    <row r="691" spans="1:41" ht="12.75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93"/>
      <c r="Q691" s="93"/>
      <c r="R691" s="93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  <c r="AD691" s="80"/>
      <c r="AE691" s="80"/>
      <c r="AF691" s="80"/>
      <c r="AG691" s="80"/>
      <c r="AH691" s="80"/>
      <c r="AI691" s="80"/>
      <c r="AJ691" s="80"/>
      <c r="AK691" s="80"/>
      <c r="AL691" s="80"/>
      <c r="AM691" s="80"/>
      <c r="AN691" s="2"/>
      <c r="AO691" s="2"/>
    </row>
    <row r="692" spans="1:41" ht="12.75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93"/>
      <c r="Q692" s="93"/>
      <c r="R692" s="93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  <c r="AD692" s="80"/>
      <c r="AE692" s="80"/>
      <c r="AF692" s="80"/>
      <c r="AG692" s="80"/>
      <c r="AH692" s="80"/>
      <c r="AI692" s="80"/>
      <c r="AJ692" s="80"/>
      <c r="AK692" s="80"/>
      <c r="AL692" s="80"/>
      <c r="AM692" s="80"/>
      <c r="AN692" s="2"/>
      <c r="AO692" s="2"/>
    </row>
    <row r="693" spans="1:41" ht="12.75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93"/>
      <c r="Q693" s="93"/>
      <c r="R693" s="93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  <c r="AD693" s="80"/>
      <c r="AE693" s="80"/>
      <c r="AF693" s="80"/>
      <c r="AG693" s="80"/>
      <c r="AH693" s="80"/>
      <c r="AI693" s="80"/>
      <c r="AJ693" s="80"/>
      <c r="AK693" s="80"/>
      <c r="AL693" s="80"/>
      <c r="AM693" s="80"/>
      <c r="AN693" s="2"/>
      <c r="AO693" s="2"/>
    </row>
    <row r="694" spans="1:41" ht="12.75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93"/>
      <c r="Q694" s="93"/>
      <c r="R694" s="93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  <c r="AD694" s="80"/>
      <c r="AE694" s="80"/>
      <c r="AF694" s="80"/>
      <c r="AG694" s="80"/>
      <c r="AH694" s="80"/>
      <c r="AI694" s="80"/>
      <c r="AJ694" s="80"/>
      <c r="AK694" s="80"/>
      <c r="AL694" s="80"/>
      <c r="AM694" s="80"/>
      <c r="AN694" s="2"/>
      <c r="AO694" s="2"/>
    </row>
    <row r="695" spans="1:41" ht="12.75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93"/>
      <c r="Q695" s="93"/>
      <c r="R695" s="93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  <c r="AD695" s="80"/>
      <c r="AE695" s="80"/>
      <c r="AF695" s="80"/>
      <c r="AG695" s="80"/>
      <c r="AH695" s="80"/>
      <c r="AI695" s="80"/>
      <c r="AJ695" s="80"/>
      <c r="AK695" s="80"/>
      <c r="AL695" s="80"/>
      <c r="AM695" s="80"/>
      <c r="AN695" s="2"/>
      <c r="AO695" s="2"/>
    </row>
    <row r="696" spans="1:41" ht="12.75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93"/>
      <c r="Q696" s="93"/>
      <c r="R696" s="93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  <c r="AD696" s="80"/>
      <c r="AE696" s="80"/>
      <c r="AF696" s="80"/>
      <c r="AG696" s="80"/>
      <c r="AH696" s="80"/>
      <c r="AI696" s="80"/>
      <c r="AJ696" s="80"/>
      <c r="AK696" s="80"/>
      <c r="AL696" s="80"/>
      <c r="AM696" s="80"/>
      <c r="AN696" s="2"/>
      <c r="AO696" s="2"/>
    </row>
    <row r="697" spans="1:41" ht="12.75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93"/>
      <c r="Q697" s="93"/>
      <c r="R697" s="93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  <c r="AD697" s="80"/>
      <c r="AE697" s="80"/>
      <c r="AF697" s="80"/>
      <c r="AG697" s="80"/>
      <c r="AH697" s="80"/>
      <c r="AI697" s="80"/>
      <c r="AJ697" s="80"/>
      <c r="AK697" s="80"/>
      <c r="AL697" s="80"/>
      <c r="AM697" s="80"/>
      <c r="AN697" s="2"/>
      <c r="AO697" s="2"/>
    </row>
    <row r="698" spans="1:41" ht="12.75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93"/>
      <c r="Q698" s="93"/>
      <c r="R698" s="93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  <c r="AD698" s="80"/>
      <c r="AE698" s="80"/>
      <c r="AF698" s="80"/>
      <c r="AG698" s="80"/>
      <c r="AH698" s="80"/>
      <c r="AI698" s="80"/>
      <c r="AJ698" s="80"/>
      <c r="AK698" s="80"/>
      <c r="AL698" s="80"/>
      <c r="AM698" s="80"/>
      <c r="AN698" s="2"/>
      <c r="AO698" s="2"/>
    </row>
    <row r="699" spans="1:41" ht="12.75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93"/>
      <c r="Q699" s="93"/>
      <c r="R699" s="93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  <c r="AD699" s="80"/>
      <c r="AE699" s="80"/>
      <c r="AF699" s="80"/>
      <c r="AG699" s="80"/>
      <c r="AH699" s="80"/>
      <c r="AI699" s="80"/>
      <c r="AJ699" s="80"/>
      <c r="AK699" s="80"/>
      <c r="AL699" s="80"/>
      <c r="AM699" s="80"/>
      <c r="AN699" s="2"/>
      <c r="AO699" s="2"/>
    </row>
    <row r="700" spans="1:41" ht="12.75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93"/>
      <c r="Q700" s="93"/>
      <c r="R700" s="93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  <c r="AD700" s="80"/>
      <c r="AE700" s="80"/>
      <c r="AF700" s="80"/>
      <c r="AG700" s="80"/>
      <c r="AH700" s="80"/>
      <c r="AI700" s="80"/>
      <c r="AJ700" s="80"/>
      <c r="AK700" s="80"/>
      <c r="AL700" s="80"/>
      <c r="AM700" s="80"/>
      <c r="AN700" s="2"/>
      <c r="AO700" s="2"/>
    </row>
    <row r="701" spans="1:41" ht="12.75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93"/>
      <c r="Q701" s="93"/>
      <c r="R701" s="93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  <c r="AD701" s="80"/>
      <c r="AE701" s="80"/>
      <c r="AF701" s="80"/>
      <c r="AG701" s="80"/>
      <c r="AH701" s="80"/>
      <c r="AI701" s="80"/>
      <c r="AJ701" s="80"/>
      <c r="AK701" s="80"/>
      <c r="AL701" s="80"/>
      <c r="AM701" s="80"/>
      <c r="AN701" s="2"/>
      <c r="AO701" s="2"/>
    </row>
    <row r="702" spans="1:41" ht="12.75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93"/>
      <c r="Q702" s="93"/>
      <c r="R702" s="93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  <c r="AD702" s="80"/>
      <c r="AE702" s="80"/>
      <c r="AF702" s="80"/>
      <c r="AG702" s="80"/>
      <c r="AH702" s="80"/>
      <c r="AI702" s="80"/>
      <c r="AJ702" s="80"/>
      <c r="AK702" s="80"/>
      <c r="AL702" s="80"/>
      <c r="AM702" s="80"/>
      <c r="AN702" s="2"/>
      <c r="AO702" s="2"/>
    </row>
    <row r="703" spans="1:41" ht="12.75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93"/>
      <c r="Q703" s="93"/>
      <c r="R703" s="93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  <c r="AD703" s="80"/>
      <c r="AE703" s="80"/>
      <c r="AF703" s="80"/>
      <c r="AG703" s="80"/>
      <c r="AH703" s="80"/>
      <c r="AI703" s="80"/>
      <c r="AJ703" s="80"/>
      <c r="AK703" s="80"/>
      <c r="AL703" s="80"/>
      <c r="AM703" s="80"/>
      <c r="AN703" s="2"/>
      <c r="AO703" s="2"/>
    </row>
    <row r="704" spans="1:41" ht="12.75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93"/>
      <c r="Q704" s="93"/>
      <c r="R704" s="93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  <c r="AD704" s="80"/>
      <c r="AE704" s="80"/>
      <c r="AF704" s="80"/>
      <c r="AG704" s="80"/>
      <c r="AH704" s="80"/>
      <c r="AI704" s="80"/>
      <c r="AJ704" s="80"/>
      <c r="AK704" s="80"/>
      <c r="AL704" s="80"/>
      <c r="AM704" s="80"/>
      <c r="AN704" s="2"/>
      <c r="AO704" s="2"/>
    </row>
    <row r="705" spans="1:41" ht="12.75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93"/>
      <c r="Q705" s="93"/>
      <c r="R705" s="93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  <c r="AD705" s="80"/>
      <c r="AE705" s="80"/>
      <c r="AF705" s="80"/>
      <c r="AG705" s="80"/>
      <c r="AH705" s="80"/>
      <c r="AI705" s="80"/>
      <c r="AJ705" s="80"/>
      <c r="AK705" s="80"/>
      <c r="AL705" s="80"/>
      <c r="AM705" s="80"/>
      <c r="AN705" s="2"/>
      <c r="AO705" s="2"/>
    </row>
    <row r="706" spans="1:41" ht="12.75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93"/>
      <c r="Q706" s="93"/>
      <c r="R706" s="93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  <c r="AD706" s="80"/>
      <c r="AE706" s="80"/>
      <c r="AF706" s="80"/>
      <c r="AG706" s="80"/>
      <c r="AH706" s="80"/>
      <c r="AI706" s="80"/>
      <c r="AJ706" s="80"/>
      <c r="AK706" s="80"/>
      <c r="AL706" s="80"/>
      <c r="AM706" s="80"/>
      <c r="AN706" s="2"/>
      <c r="AO706" s="2"/>
    </row>
    <row r="707" spans="1:41" ht="12.75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93"/>
      <c r="Q707" s="93"/>
      <c r="R707" s="93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  <c r="AD707" s="80"/>
      <c r="AE707" s="80"/>
      <c r="AF707" s="80"/>
      <c r="AG707" s="80"/>
      <c r="AH707" s="80"/>
      <c r="AI707" s="80"/>
      <c r="AJ707" s="80"/>
      <c r="AK707" s="80"/>
      <c r="AL707" s="80"/>
      <c r="AM707" s="80"/>
      <c r="AN707" s="2"/>
      <c r="AO707" s="2"/>
    </row>
    <row r="708" spans="1:41" ht="12.75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93"/>
      <c r="Q708" s="93"/>
      <c r="R708" s="93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  <c r="AD708" s="80"/>
      <c r="AE708" s="80"/>
      <c r="AF708" s="80"/>
      <c r="AG708" s="80"/>
      <c r="AH708" s="80"/>
      <c r="AI708" s="80"/>
      <c r="AJ708" s="80"/>
      <c r="AK708" s="80"/>
      <c r="AL708" s="80"/>
      <c r="AM708" s="80"/>
      <c r="AN708" s="2"/>
      <c r="AO708" s="2"/>
    </row>
    <row r="709" spans="1:41" ht="12.75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93"/>
      <c r="Q709" s="93"/>
      <c r="R709" s="93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  <c r="AD709" s="80"/>
      <c r="AE709" s="80"/>
      <c r="AF709" s="80"/>
      <c r="AG709" s="80"/>
      <c r="AH709" s="80"/>
      <c r="AI709" s="80"/>
      <c r="AJ709" s="80"/>
      <c r="AK709" s="80"/>
      <c r="AL709" s="80"/>
      <c r="AM709" s="80"/>
      <c r="AN709" s="2"/>
      <c r="AO709" s="2"/>
    </row>
    <row r="710" spans="1:41" ht="12.75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93"/>
      <c r="Q710" s="93"/>
      <c r="R710" s="93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  <c r="AD710" s="80"/>
      <c r="AE710" s="80"/>
      <c r="AF710" s="80"/>
      <c r="AG710" s="80"/>
      <c r="AH710" s="80"/>
      <c r="AI710" s="80"/>
      <c r="AJ710" s="80"/>
      <c r="AK710" s="80"/>
      <c r="AL710" s="80"/>
      <c r="AM710" s="80"/>
      <c r="AN710" s="2"/>
      <c r="AO710" s="2"/>
    </row>
    <row r="711" spans="1:41" ht="12.75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93"/>
      <c r="Q711" s="93"/>
      <c r="R711" s="93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  <c r="AD711" s="80"/>
      <c r="AE711" s="80"/>
      <c r="AF711" s="80"/>
      <c r="AG711" s="80"/>
      <c r="AH711" s="80"/>
      <c r="AI711" s="80"/>
      <c r="AJ711" s="80"/>
      <c r="AK711" s="80"/>
      <c r="AL711" s="80"/>
      <c r="AM711" s="80"/>
      <c r="AN711" s="2"/>
      <c r="AO711" s="2"/>
    </row>
    <row r="712" spans="1:41" ht="12.75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93"/>
      <c r="Q712" s="93"/>
      <c r="R712" s="93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  <c r="AD712" s="80"/>
      <c r="AE712" s="80"/>
      <c r="AF712" s="80"/>
      <c r="AG712" s="80"/>
      <c r="AH712" s="80"/>
      <c r="AI712" s="80"/>
      <c r="AJ712" s="80"/>
      <c r="AK712" s="80"/>
      <c r="AL712" s="80"/>
      <c r="AM712" s="80"/>
      <c r="AN712" s="2"/>
      <c r="AO712" s="2"/>
    </row>
    <row r="713" spans="1:41" ht="12.75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93"/>
      <c r="Q713" s="93"/>
      <c r="R713" s="93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  <c r="AD713" s="80"/>
      <c r="AE713" s="80"/>
      <c r="AF713" s="80"/>
      <c r="AG713" s="80"/>
      <c r="AH713" s="80"/>
      <c r="AI713" s="80"/>
      <c r="AJ713" s="80"/>
      <c r="AK713" s="80"/>
      <c r="AL713" s="80"/>
      <c r="AM713" s="80"/>
      <c r="AN713" s="2"/>
      <c r="AO713" s="2"/>
    </row>
    <row r="714" spans="1:41" ht="12.75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93"/>
      <c r="Q714" s="93"/>
      <c r="R714" s="93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  <c r="AD714" s="80"/>
      <c r="AE714" s="80"/>
      <c r="AF714" s="80"/>
      <c r="AG714" s="80"/>
      <c r="AH714" s="80"/>
      <c r="AI714" s="80"/>
      <c r="AJ714" s="80"/>
      <c r="AK714" s="80"/>
      <c r="AL714" s="80"/>
      <c r="AM714" s="80"/>
      <c r="AN714" s="2"/>
      <c r="AO714" s="2"/>
    </row>
    <row r="715" spans="1:41" ht="12.75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93"/>
      <c r="Q715" s="93"/>
      <c r="R715" s="93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  <c r="AD715" s="80"/>
      <c r="AE715" s="80"/>
      <c r="AF715" s="80"/>
      <c r="AG715" s="80"/>
      <c r="AH715" s="80"/>
      <c r="AI715" s="80"/>
      <c r="AJ715" s="80"/>
      <c r="AK715" s="80"/>
      <c r="AL715" s="80"/>
      <c r="AM715" s="80"/>
      <c r="AN715" s="2"/>
      <c r="AO715" s="2"/>
    </row>
    <row r="716" spans="1:41" ht="12.75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93"/>
      <c r="Q716" s="93"/>
      <c r="R716" s="93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  <c r="AD716" s="80"/>
      <c r="AE716" s="80"/>
      <c r="AF716" s="80"/>
      <c r="AG716" s="80"/>
      <c r="AH716" s="80"/>
      <c r="AI716" s="80"/>
      <c r="AJ716" s="80"/>
      <c r="AK716" s="80"/>
      <c r="AL716" s="80"/>
      <c r="AM716" s="80"/>
      <c r="AN716" s="2"/>
      <c r="AO716" s="2"/>
    </row>
    <row r="717" spans="1:41" ht="12.75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93"/>
      <c r="Q717" s="93"/>
      <c r="R717" s="93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  <c r="AD717" s="80"/>
      <c r="AE717" s="80"/>
      <c r="AF717" s="80"/>
      <c r="AG717" s="80"/>
      <c r="AH717" s="80"/>
      <c r="AI717" s="80"/>
      <c r="AJ717" s="80"/>
      <c r="AK717" s="80"/>
      <c r="AL717" s="80"/>
      <c r="AM717" s="80"/>
      <c r="AN717" s="2"/>
      <c r="AO717" s="2"/>
    </row>
    <row r="718" spans="1:41" ht="12.75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93"/>
      <c r="Q718" s="93"/>
      <c r="R718" s="93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  <c r="AD718" s="80"/>
      <c r="AE718" s="80"/>
      <c r="AF718" s="80"/>
      <c r="AG718" s="80"/>
      <c r="AH718" s="80"/>
      <c r="AI718" s="80"/>
      <c r="AJ718" s="80"/>
      <c r="AK718" s="80"/>
      <c r="AL718" s="80"/>
      <c r="AM718" s="80"/>
      <c r="AN718" s="2"/>
      <c r="AO718" s="2"/>
    </row>
    <row r="719" spans="1:41" ht="12.75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93"/>
      <c r="Q719" s="93"/>
      <c r="R719" s="93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  <c r="AD719" s="80"/>
      <c r="AE719" s="80"/>
      <c r="AF719" s="80"/>
      <c r="AG719" s="80"/>
      <c r="AH719" s="80"/>
      <c r="AI719" s="80"/>
      <c r="AJ719" s="80"/>
      <c r="AK719" s="80"/>
      <c r="AL719" s="80"/>
      <c r="AM719" s="80"/>
      <c r="AN719" s="2"/>
      <c r="AO719" s="2"/>
    </row>
    <row r="720" spans="1:41" ht="12.75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93"/>
      <c r="Q720" s="93"/>
      <c r="R720" s="93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  <c r="AD720" s="80"/>
      <c r="AE720" s="80"/>
      <c r="AF720" s="80"/>
      <c r="AG720" s="80"/>
      <c r="AH720" s="80"/>
      <c r="AI720" s="80"/>
      <c r="AJ720" s="80"/>
      <c r="AK720" s="80"/>
      <c r="AL720" s="80"/>
      <c r="AM720" s="80"/>
      <c r="AN720" s="2"/>
      <c r="AO720" s="2"/>
    </row>
    <row r="721" spans="1:41" ht="12.75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93"/>
      <c r="Q721" s="93"/>
      <c r="R721" s="93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  <c r="AD721" s="80"/>
      <c r="AE721" s="80"/>
      <c r="AF721" s="80"/>
      <c r="AG721" s="80"/>
      <c r="AH721" s="80"/>
      <c r="AI721" s="80"/>
      <c r="AJ721" s="80"/>
      <c r="AK721" s="80"/>
      <c r="AL721" s="80"/>
      <c r="AM721" s="80"/>
      <c r="AN721" s="2"/>
      <c r="AO721" s="2"/>
    </row>
    <row r="722" spans="1:41" ht="12.75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93"/>
      <c r="Q722" s="93"/>
      <c r="R722" s="93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  <c r="AD722" s="80"/>
      <c r="AE722" s="80"/>
      <c r="AF722" s="80"/>
      <c r="AG722" s="80"/>
      <c r="AH722" s="80"/>
      <c r="AI722" s="80"/>
      <c r="AJ722" s="80"/>
      <c r="AK722" s="80"/>
      <c r="AL722" s="80"/>
      <c r="AM722" s="80"/>
      <c r="AN722" s="2"/>
      <c r="AO722" s="2"/>
    </row>
    <row r="723" spans="1:41" ht="12.75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93"/>
      <c r="Q723" s="93"/>
      <c r="R723" s="93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2"/>
      <c r="AO723" s="2"/>
    </row>
    <row r="724" spans="1:41" ht="12.75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93"/>
      <c r="Q724" s="93"/>
      <c r="R724" s="93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  <c r="AD724" s="80"/>
      <c r="AE724" s="80"/>
      <c r="AF724" s="80"/>
      <c r="AG724" s="80"/>
      <c r="AH724" s="80"/>
      <c r="AI724" s="80"/>
      <c r="AJ724" s="80"/>
      <c r="AK724" s="80"/>
      <c r="AL724" s="80"/>
      <c r="AM724" s="80"/>
      <c r="AN724" s="2"/>
      <c r="AO724" s="2"/>
    </row>
    <row r="725" spans="1:41" ht="12.75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93"/>
      <c r="Q725" s="93"/>
      <c r="R725" s="93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  <c r="AD725" s="80"/>
      <c r="AE725" s="80"/>
      <c r="AF725" s="80"/>
      <c r="AG725" s="80"/>
      <c r="AH725" s="80"/>
      <c r="AI725" s="80"/>
      <c r="AJ725" s="80"/>
      <c r="AK725" s="80"/>
      <c r="AL725" s="80"/>
      <c r="AM725" s="80"/>
      <c r="AN725" s="2"/>
      <c r="AO725" s="2"/>
    </row>
    <row r="726" spans="1:41" ht="12.75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93"/>
      <c r="Q726" s="93"/>
      <c r="R726" s="93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  <c r="AD726" s="80"/>
      <c r="AE726" s="80"/>
      <c r="AF726" s="80"/>
      <c r="AG726" s="80"/>
      <c r="AH726" s="80"/>
      <c r="AI726" s="80"/>
      <c r="AJ726" s="80"/>
      <c r="AK726" s="80"/>
      <c r="AL726" s="80"/>
      <c r="AM726" s="80"/>
      <c r="AN726" s="2"/>
      <c r="AO726" s="2"/>
    </row>
    <row r="727" spans="1:41" ht="12.75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93"/>
      <c r="Q727" s="93"/>
      <c r="R727" s="93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  <c r="AD727" s="80"/>
      <c r="AE727" s="80"/>
      <c r="AF727" s="80"/>
      <c r="AG727" s="80"/>
      <c r="AH727" s="80"/>
      <c r="AI727" s="80"/>
      <c r="AJ727" s="80"/>
      <c r="AK727" s="80"/>
      <c r="AL727" s="80"/>
      <c r="AM727" s="80"/>
      <c r="AN727" s="2"/>
      <c r="AO727" s="2"/>
    </row>
    <row r="728" spans="1:41" ht="12.75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93"/>
      <c r="Q728" s="93"/>
      <c r="R728" s="93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  <c r="AD728" s="80"/>
      <c r="AE728" s="80"/>
      <c r="AF728" s="80"/>
      <c r="AG728" s="80"/>
      <c r="AH728" s="80"/>
      <c r="AI728" s="80"/>
      <c r="AJ728" s="80"/>
      <c r="AK728" s="80"/>
      <c r="AL728" s="80"/>
      <c r="AM728" s="80"/>
      <c r="AN728" s="2"/>
      <c r="AO728" s="2"/>
    </row>
    <row r="729" spans="1:41" ht="12.75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93"/>
      <c r="Q729" s="93"/>
      <c r="R729" s="93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  <c r="AD729" s="80"/>
      <c r="AE729" s="80"/>
      <c r="AF729" s="80"/>
      <c r="AG729" s="80"/>
      <c r="AH729" s="80"/>
      <c r="AI729" s="80"/>
      <c r="AJ729" s="80"/>
      <c r="AK729" s="80"/>
      <c r="AL729" s="80"/>
      <c r="AM729" s="80"/>
      <c r="AN729" s="2"/>
      <c r="AO729" s="2"/>
    </row>
    <row r="730" spans="1:41" ht="12.75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93"/>
      <c r="Q730" s="93"/>
      <c r="R730" s="93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  <c r="AD730" s="80"/>
      <c r="AE730" s="80"/>
      <c r="AF730" s="80"/>
      <c r="AG730" s="80"/>
      <c r="AH730" s="80"/>
      <c r="AI730" s="80"/>
      <c r="AJ730" s="80"/>
      <c r="AK730" s="80"/>
      <c r="AL730" s="80"/>
      <c r="AM730" s="80"/>
      <c r="AN730" s="2"/>
      <c r="AO730" s="2"/>
    </row>
    <row r="731" spans="1:41" ht="12.75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93"/>
      <c r="Q731" s="93"/>
      <c r="R731" s="93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  <c r="AD731" s="80"/>
      <c r="AE731" s="80"/>
      <c r="AF731" s="80"/>
      <c r="AG731" s="80"/>
      <c r="AH731" s="80"/>
      <c r="AI731" s="80"/>
      <c r="AJ731" s="80"/>
      <c r="AK731" s="80"/>
      <c r="AL731" s="80"/>
      <c r="AM731" s="80"/>
      <c r="AN731" s="2"/>
      <c r="AO731" s="2"/>
    </row>
    <row r="732" spans="1:41" ht="12.75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93"/>
      <c r="Q732" s="93"/>
      <c r="R732" s="93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  <c r="AD732" s="80"/>
      <c r="AE732" s="80"/>
      <c r="AF732" s="80"/>
      <c r="AG732" s="80"/>
      <c r="AH732" s="80"/>
      <c r="AI732" s="80"/>
      <c r="AJ732" s="80"/>
      <c r="AK732" s="80"/>
      <c r="AL732" s="80"/>
      <c r="AM732" s="80"/>
      <c r="AN732" s="2"/>
      <c r="AO732" s="2"/>
    </row>
    <row r="733" spans="1:41" ht="12.75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93"/>
      <c r="Q733" s="93"/>
      <c r="R733" s="93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  <c r="AD733" s="80"/>
      <c r="AE733" s="80"/>
      <c r="AF733" s="80"/>
      <c r="AG733" s="80"/>
      <c r="AH733" s="80"/>
      <c r="AI733" s="80"/>
      <c r="AJ733" s="80"/>
      <c r="AK733" s="80"/>
      <c r="AL733" s="80"/>
      <c r="AM733" s="80"/>
      <c r="AN733" s="2"/>
      <c r="AO733" s="2"/>
    </row>
    <row r="734" spans="1:41" ht="12.75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93"/>
      <c r="Q734" s="93"/>
      <c r="R734" s="93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  <c r="AD734" s="80"/>
      <c r="AE734" s="80"/>
      <c r="AF734" s="80"/>
      <c r="AG734" s="80"/>
      <c r="AH734" s="80"/>
      <c r="AI734" s="80"/>
      <c r="AJ734" s="80"/>
      <c r="AK734" s="80"/>
      <c r="AL734" s="80"/>
      <c r="AM734" s="80"/>
      <c r="AN734" s="2"/>
      <c r="AO734" s="2"/>
    </row>
    <row r="735" spans="1:41" ht="12.75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93"/>
      <c r="Q735" s="93"/>
      <c r="R735" s="93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  <c r="AD735" s="80"/>
      <c r="AE735" s="80"/>
      <c r="AF735" s="80"/>
      <c r="AG735" s="80"/>
      <c r="AH735" s="80"/>
      <c r="AI735" s="80"/>
      <c r="AJ735" s="80"/>
      <c r="AK735" s="80"/>
      <c r="AL735" s="80"/>
      <c r="AM735" s="80"/>
      <c r="AN735" s="2"/>
      <c r="AO735" s="2"/>
    </row>
    <row r="736" spans="1:41" ht="12.75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93"/>
      <c r="Q736" s="93"/>
      <c r="R736" s="93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  <c r="AD736" s="80"/>
      <c r="AE736" s="80"/>
      <c r="AF736" s="80"/>
      <c r="AG736" s="80"/>
      <c r="AH736" s="80"/>
      <c r="AI736" s="80"/>
      <c r="AJ736" s="80"/>
      <c r="AK736" s="80"/>
      <c r="AL736" s="80"/>
      <c r="AM736" s="80"/>
      <c r="AN736" s="2"/>
      <c r="AO736" s="2"/>
    </row>
    <row r="737" spans="1:41" ht="12.75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93"/>
      <c r="Q737" s="93"/>
      <c r="R737" s="93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  <c r="AD737" s="80"/>
      <c r="AE737" s="80"/>
      <c r="AF737" s="80"/>
      <c r="AG737" s="80"/>
      <c r="AH737" s="80"/>
      <c r="AI737" s="80"/>
      <c r="AJ737" s="80"/>
      <c r="AK737" s="80"/>
      <c r="AL737" s="80"/>
      <c r="AM737" s="80"/>
      <c r="AN737" s="2"/>
      <c r="AO737" s="2"/>
    </row>
    <row r="738" spans="1:41" ht="12.75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93"/>
      <c r="Q738" s="93"/>
      <c r="R738" s="93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  <c r="AD738" s="80"/>
      <c r="AE738" s="80"/>
      <c r="AF738" s="80"/>
      <c r="AG738" s="80"/>
      <c r="AH738" s="80"/>
      <c r="AI738" s="80"/>
      <c r="AJ738" s="80"/>
      <c r="AK738" s="80"/>
      <c r="AL738" s="80"/>
      <c r="AM738" s="80"/>
      <c r="AN738" s="2"/>
      <c r="AO738" s="2"/>
    </row>
    <row r="739" spans="1:41" ht="12.75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93"/>
      <c r="Q739" s="93"/>
      <c r="R739" s="93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  <c r="AD739" s="80"/>
      <c r="AE739" s="80"/>
      <c r="AF739" s="80"/>
      <c r="AG739" s="80"/>
      <c r="AH739" s="80"/>
      <c r="AI739" s="80"/>
      <c r="AJ739" s="80"/>
      <c r="AK739" s="80"/>
      <c r="AL739" s="80"/>
      <c r="AM739" s="80"/>
      <c r="AN739" s="2"/>
      <c r="AO739" s="2"/>
    </row>
    <row r="740" spans="1:41" ht="12.75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93"/>
      <c r="Q740" s="93"/>
      <c r="R740" s="93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  <c r="AD740" s="80"/>
      <c r="AE740" s="80"/>
      <c r="AF740" s="80"/>
      <c r="AG740" s="80"/>
      <c r="AH740" s="80"/>
      <c r="AI740" s="80"/>
      <c r="AJ740" s="80"/>
      <c r="AK740" s="80"/>
      <c r="AL740" s="80"/>
      <c r="AM740" s="80"/>
      <c r="AN740" s="2"/>
      <c r="AO740" s="2"/>
    </row>
    <row r="741" spans="1:41" ht="12.75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93"/>
      <c r="Q741" s="93"/>
      <c r="R741" s="93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  <c r="AD741" s="80"/>
      <c r="AE741" s="80"/>
      <c r="AF741" s="80"/>
      <c r="AG741" s="80"/>
      <c r="AH741" s="80"/>
      <c r="AI741" s="80"/>
      <c r="AJ741" s="80"/>
      <c r="AK741" s="80"/>
      <c r="AL741" s="80"/>
      <c r="AM741" s="80"/>
      <c r="AN741" s="2"/>
      <c r="AO741" s="2"/>
    </row>
    <row r="742" spans="1:41" ht="12.75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93"/>
      <c r="Q742" s="93"/>
      <c r="R742" s="93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  <c r="AD742" s="80"/>
      <c r="AE742" s="80"/>
      <c r="AF742" s="80"/>
      <c r="AG742" s="80"/>
      <c r="AH742" s="80"/>
      <c r="AI742" s="80"/>
      <c r="AJ742" s="80"/>
      <c r="AK742" s="80"/>
      <c r="AL742" s="80"/>
      <c r="AM742" s="80"/>
      <c r="AN742" s="2"/>
      <c r="AO742" s="2"/>
    </row>
    <row r="743" spans="1:41" ht="12.75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93"/>
      <c r="Q743" s="93"/>
      <c r="R743" s="93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  <c r="AD743" s="80"/>
      <c r="AE743" s="80"/>
      <c r="AF743" s="80"/>
      <c r="AG743" s="80"/>
      <c r="AH743" s="80"/>
      <c r="AI743" s="80"/>
      <c r="AJ743" s="80"/>
      <c r="AK743" s="80"/>
      <c r="AL743" s="80"/>
      <c r="AM743" s="80"/>
      <c r="AN743" s="2"/>
      <c r="AO743" s="2"/>
    </row>
    <row r="744" spans="1:41" ht="12.75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93"/>
      <c r="Q744" s="93"/>
      <c r="R744" s="93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  <c r="AD744" s="80"/>
      <c r="AE744" s="80"/>
      <c r="AF744" s="80"/>
      <c r="AG744" s="80"/>
      <c r="AH744" s="80"/>
      <c r="AI744" s="80"/>
      <c r="AJ744" s="80"/>
      <c r="AK744" s="80"/>
      <c r="AL744" s="80"/>
      <c r="AM744" s="80"/>
      <c r="AN744" s="2"/>
      <c r="AO744" s="2"/>
    </row>
    <row r="745" spans="1:41" ht="12.75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93"/>
      <c r="Q745" s="93"/>
      <c r="R745" s="93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  <c r="AD745" s="80"/>
      <c r="AE745" s="80"/>
      <c r="AF745" s="80"/>
      <c r="AG745" s="80"/>
      <c r="AH745" s="80"/>
      <c r="AI745" s="80"/>
      <c r="AJ745" s="80"/>
      <c r="AK745" s="80"/>
      <c r="AL745" s="80"/>
      <c r="AM745" s="80"/>
      <c r="AN745" s="2"/>
      <c r="AO745" s="2"/>
    </row>
    <row r="746" spans="1:41" ht="12.75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93"/>
      <c r="Q746" s="93"/>
      <c r="R746" s="93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  <c r="AD746" s="80"/>
      <c r="AE746" s="80"/>
      <c r="AF746" s="80"/>
      <c r="AG746" s="80"/>
      <c r="AH746" s="80"/>
      <c r="AI746" s="80"/>
      <c r="AJ746" s="80"/>
      <c r="AK746" s="80"/>
      <c r="AL746" s="80"/>
      <c r="AM746" s="80"/>
      <c r="AN746" s="2"/>
      <c r="AO746" s="2"/>
    </row>
    <row r="747" spans="1:41" ht="12.75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93"/>
      <c r="Q747" s="93"/>
      <c r="R747" s="93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  <c r="AD747" s="80"/>
      <c r="AE747" s="80"/>
      <c r="AF747" s="80"/>
      <c r="AG747" s="80"/>
      <c r="AH747" s="80"/>
      <c r="AI747" s="80"/>
      <c r="AJ747" s="80"/>
      <c r="AK747" s="80"/>
      <c r="AL747" s="80"/>
      <c r="AM747" s="80"/>
      <c r="AN747" s="2"/>
      <c r="AO747" s="2"/>
    </row>
    <row r="748" spans="1:41" ht="12.75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93"/>
      <c r="Q748" s="93"/>
      <c r="R748" s="93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  <c r="AD748" s="80"/>
      <c r="AE748" s="80"/>
      <c r="AF748" s="80"/>
      <c r="AG748" s="80"/>
      <c r="AH748" s="80"/>
      <c r="AI748" s="80"/>
      <c r="AJ748" s="80"/>
      <c r="AK748" s="80"/>
      <c r="AL748" s="80"/>
      <c r="AM748" s="80"/>
      <c r="AN748" s="2"/>
      <c r="AO748" s="2"/>
    </row>
    <row r="749" spans="1:41" ht="12.75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93"/>
      <c r="Q749" s="93"/>
      <c r="R749" s="93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  <c r="AD749" s="80"/>
      <c r="AE749" s="80"/>
      <c r="AF749" s="80"/>
      <c r="AG749" s="80"/>
      <c r="AH749" s="80"/>
      <c r="AI749" s="80"/>
      <c r="AJ749" s="80"/>
      <c r="AK749" s="80"/>
      <c r="AL749" s="80"/>
      <c r="AM749" s="80"/>
      <c r="AN749" s="2"/>
      <c r="AO749" s="2"/>
    </row>
    <row r="750" spans="1:41" ht="12.75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93"/>
      <c r="Q750" s="93"/>
      <c r="R750" s="93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  <c r="AD750" s="80"/>
      <c r="AE750" s="80"/>
      <c r="AF750" s="80"/>
      <c r="AG750" s="80"/>
      <c r="AH750" s="80"/>
      <c r="AI750" s="80"/>
      <c r="AJ750" s="80"/>
      <c r="AK750" s="80"/>
      <c r="AL750" s="80"/>
      <c r="AM750" s="80"/>
      <c r="AN750" s="2"/>
      <c r="AO750" s="2"/>
    </row>
    <row r="751" spans="1:41" ht="12.75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93"/>
      <c r="Q751" s="93"/>
      <c r="R751" s="93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  <c r="AD751" s="80"/>
      <c r="AE751" s="80"/>
      <c r="AF751" s="80"/>
      <c r="AG751" s="80"/>
      <c r="AH751" s="80"/>
      <c r="AI751" s="80"/>
      <c r="AJ751" s="80"/>
      <c r="AK751" s="80"/>
      <c r="AL751" s="80"/>
      <c r="AM751" s="80"/>
      <c r="AN751" s="2"/>
      <c r="AO751" s="2"/>
    </row>
    <row r="752" spans="1:41" ht="12.75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93"/>
      <c r="Q752" s="93"/>
      <c r="R752" s="93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  <c r="AD752" s="80"/>
      <c r="AE752" s="80"/>
      <c r="AF752" s="80"/>
      <c r="AG752" s="80"/>
      <c r="AH752" s="80"/>
      <c r="AI752" s="80"/>
      <c r="AJ752" s="80"/>
      <c r="AK752" s="80"/>
      <c r="AL752" s="80"/>
      <c r="AM752" s="80"/>
      <c r="AN752" s="2"/>
      <c r="AO752" s="2"/>
    </row>
    <row r="753" spans="1:41" ht="12.75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93"/>
      <c r="Q753" s="93"/>
      <c r="R753" s="93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  <c r="AD753" s="80"/>
      <c r="AE753" s="80"/>
      <c r="AF753" s="80"/>
      <c r="AG753" s="80"/>
      <c r="AH753" s="80"/>
      <c r="AI753" s="80"/>
      <c r="AJ753" s="80"/>
      <c r="AK753" s="80"/>
      <c r="AL753" s="80"/>
      <c r="AM753" s="80"/>
      <c r="AN753" s="2"/>
      <c r="AO753" s="2"/>
    </row>
    <row r="754" spans="1:41" ht="12.75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93"/>
      <c r="Q754" s="93"/>
      <c r="R754" s="93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  <c r="AD754" s="80"/>
      <c r="AE754" s="80"/>
      <c r="AF754" s="80"/>
      <c r="AG754" s="80"/>
      <c r="AH754" s="80"/>
      <c r="AI754" s="80"/>
      <c r="AJ754" s="80"/>
      <c r="AK754" s="80"/>
      <c r="AL754" s="80"/>
      <c r="AM754" s="80"/>
      <c r="AN754" s="2"/>
      <c r="AO754" s="2"/>
    </row>
    <row r="755" spans="1:41" ht="12.75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93"/>
      <c r="Q755" s="93"/>
      <c r="R755" s="93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  <c r="AD755" s="80"/>
      <c r="AE755" s="80"/>
      <c r="AF755" s="80"/>
      <c r="AG755" s="80"/>
      <c r="AH755" s="80"/>
      <c r="AI755" s="80"/>
      <c r="AJ755" s="80"/>
      <c r="AK755" s="80"/>
      <c r="AL755" s="80"/>
      <c r="AM755" s="80"/>
      <c r="AN755" s="2"/>
      <c r="AO755" s="2"/>
    </row>
    <row r="756" spans="1:41" ht="12.75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93"/>
      <c r="Q756" s="93"/>
      <c r="R756" s="93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  <c r="AD756" s="80"/>
      <c r="AE756" s="80"/>
      <c r="AF756" s="80"/>
      <c r="AG756" s="80"/>
      <c r="AH756" s="80"/>
      <c r="AI756" s="80"/>
      <c r="AJ756" s="80"/>
      <c r="AK756" s="80"/>
      <c r="AL756" s="80"/>
      <c r="AM756" s="80"/>
      <c r="AN756" s="2"/>
      <c r="AO756" s="2"/>
    </row>
    <row r="757" spans="1:41" ht="12.75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93"/>
      <c r="Q757" s="93"/>
      <c r="R757" s="93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  <c r="AD757" s="80"/>
      <c r="AE757" s="80"/>
      <c r="AF757" s="80"/>
      <c r="AG757" s="80"/>
      <c r="AH757" s="80"/>
      <c r="AI757" s="80"/>
      <c r="AJ757" s="80"/>
      <c r="AK757" s="80"/>
      <c r="AL757" s="80"/>
      <c r="AM757" s="80"/>
      <c r="AN757" s="2"/>
      <c r="AO757" s="2"/>
    </row>
    <row r="758" spans="1:41" ht="12.75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93"/>
      <c r="Q758" s="93"/>
      <c r="R758" s="93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  <c r="AD758" s="80"/>
      <c r="AE758" s="80"/>
      <c r="AF758" s="80"/>
      <c r="AG758" s="80"/>
      <c r="AH758" s="80"/>
      <c r="AI758" s="80"/>
      <c r="AJ758" s="80"/>
      <c r="AK758" s="80"/>
      <c r="AL758" s="80"/>
      <c r="AM758" s="80"/>
      <c r="AN758" s="2"/>
      <c r="AO758" s="2"/>
    </row>
    <row r="759" spans="1:41" ht="12.75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93"/>
      <c r="Q759" s="93"/>
      <c r="R759" s="93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  <c r="AD759" s="80"/>
      <c r="AE759" s="80"/>
      <c r="AF759" s="80"/>
      <c r="AG759" s="80"/>
      <c r="AH759" s="80"/>
      <c r="AI759" s="80"/>
      <c r="AJ759" s="80"/>
      <c r="AK759" s="80"/>
      <c r="AL759" s="80"/>
      <c r="AM759" s="80"/>
      <c r="AN759" s="2"/>
      <c r="AO759" s="2"/>
    </row>
    <row r="760" spans="1:41" ht="12.75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93"/>
      <c r="Q760" s="93"/>
      <c r="R760" s="93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  <c r="AD760" s="80"/>
      <c r="AE760" s="80"/>
      <c r="AF760" s="80"/>
      <c r="AG760" s="80"/>
      <c r="AH760" s="80"/>
      <c r="AI760" s="80"/>
      <c r="AJ760" s="80"/>
      <c r="AK760" s="80"/>
      <c r="AL760" s="80"/>
      <c r="AM760" s="80"/>
      <c r="AN760" s="2"/>
      <c r="AO760" s="2"/>
    </row>
    <row r="761" spans="1:41" ht="12.75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93"/>
      <c r="Q761" s="93"/>
      <c r="R761" s="93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  <c r="AD761" s="80"/>
      <c r="AE761" s="80"/>
      <c r="AF761" s="80"/>
      <c r="AG761" s="80"/>
      <c r="AH761" s="80"/>
      <c r="AI761" s="80"/>
      <c r="AJ761" s="80"/>
      <c r="AK761" s="80"/>
      <c r="AL761" s="80"/>
      <c r="AM761" s="80"/>
      <c r="AN761" s="2"/>
      <c r="AO761" s="2"/>
    </row>
    <row r="762" spans="1:41" ht="12.75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93"/>
      <c r="Q762" s="93"/>
      <c r="R762" s="93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  <c r="AD762" s="80"/>
      <c r="AE762" s="80"/>
      <c r="AF762" s="80"/>
      <c r="AG762" s="80"/>
      <c r="AH762" s="80"/>
      <c r="AI762" s="80"/>
      <c r="AJ762" s="80"/>
      <c r="AK762" s="80"/>
      <c r="AL762" s="80"/>
      <c r="AM762" s="80"/>
      <c r="AN762" s="2"/>
      <c r="AO762" s="2"/>
    </row>
    <row r="763" spans="1:41" ht="12.75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93"/>
      <c r="Q763" s="93"/>
      <c r="R763" s="93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2"/>
      <c r="AO763" s="2"/>
    </row>
    <row r="764" spans="1:41" ht="12.75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93"/>
      <c r="Q764" s="93"/>
      <c r="R764" s="93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  <c r="AD764" s="80"/>
      <c r="AE764" s="80"/>
      <c r="AF764" s="80"/>
      <c r="AG764" s="80"/>
      <c r="AH764" s="80"/>
      <c r="AI764" s="80"/>
      <c r="AJ764" s="80"/>
      <c r="AK764" s="80"/>
      <c r="AL764" s="80"/>
      <c r="AM764" s="80"/>
      <c r="AN764" s="2"/>
      <c r="AO764" s="2"/>
    </row>
    <row r="765" spans="1:41" ht="12.75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93"/>
      <c r="Q765" s="93"/>
      <c r="R765" s="93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  <c r="AD765" s="80"/>
      <c r="AE765" s="80"/>
      <c r="AF765" s="80"/>
      <c r="AG765" s="80"/>
      <c r="AH765" s="80"/>
      <c r="AI765" s="80"/>
      <c r="AJ765" s="80"/>
      <c r="AK765" s="80"/>
      <c r="AL765" s="80"/>
      <c r="AM765" s="80"/>
      <c r="AN765" s="2"/>
      <c r="AO765" s="2"/>
    </row>
    <row r="766" spans="1:41" ht="12.75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93"/>
      <c r="Q766" s="93"/>
      <c r="R766" s="93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  <c r="AD766" s="80"/>
      <c r="AE766" s="80"/>
      <c r="AF766" s="80"/>
      <c r="AG766" s="80"/>
      <c r="AH766" s="80"/>
      <c r="AI766" s="80"/>
      <c r="AJ766" s="80"/>
      <c r="AK766" s="80"/>
      <c r="AL766" s="80"/>
      <c r="AM766" s="80"/>
      <c r="AN766" s="2"/>
      <c r="AO766" s="2"/>
    </row>
    <row r="767" spans="1:41" ht="12.75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93"/>
      <c r="Q767" s="93"/>
      <c r="R767" s="93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  <c r="AD767" s="80"/>
      <c r="AE767" s="80"/>
      <c r="AF767" s="80"/>
      <c r="AG767" s="80"/>
      <c r="AH767" s="80"/>
      <c r="AI767" s="80"/>
      <c r="AJ767" s="80"/>
      <c r="AK767" s="80"/>
      <c r="AL767" s="80"/>
      <c r="AM767" s="80"/>
      <c r="AN767" s="2"/>
      <c r="AO767" s="2"/>
    </row>
    <row r="768" spans="1:41" ht="12.75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93"/>
      <c r="Q768" s="93"/>
      <c r="R768" s="93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  <c r="AD768" s="80"/>
      <c r="AE768" s="80"/>
      <c r="AF768" s="80"/>
      <c r="AG768" s="80"/>
      <c r="AH768" s="80"/>
      <c r="AI768" s="80"/>
      <c r="AJ768" s="80"/>
      <c r="AK768" s="80"/>
      <c r="AL768" s="80"/>
      <c r="AM768" s="80"/>
      <c r="AN768" s="2"/>
      <c r="AO768" s="2"/>
    </row>
    <row r="769" spans="1:41" ht="12.75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93"/>
      <c r="Q769" s="93"/>
      <c r="R769" s="93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  <c r="AD769" s="80"/>
      <c r="AE769" s="80"/>
      <c r="AF769" s="80"/>
      <c r="AG769" s="80"/>
      <c r="AH769" s="80"/>
      <c r="AI769" s="80"/>
      <c r="AJ769" s="80"/>
      <c r="AK769" s="80"/>
      <c r="AL769" s="80"/>
      <c r="AM769" s="80"/>
      <c r="AN769" s="2"/>
      <c r="AO769" s="2"/>
    </row>
    <row r="770" spans="1:41" ht="12.75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93"/>
      <c r="Q770" s="93"/>
      <c r="R770" s="93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  <c r="AD770" s="80"/>
      <c r="AE770" s="80"/>
      <c r="AF770" s="80"/>
      <c r="AG770" s="80"/>
      <c r="AH770" s="80"/>
      <c r="AI770" s="80"/>
      <c r="AJ770" s="80"/>
      <c r="AK770" s="80"/>
      <c r="AL770" s="80"/>
      <c r="AM770" s="80"/>
      <c r="AN770" s="2"/>
      <c r="AO770" s="2"/>
    </row>
    <row r="771" spans="1:41" ht="12.75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93"/>
      <c r="Q771" s="93"/>
      <c r="R771" s="93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  <c r="AD771" s="80"/>
      <c r="AE771" s="80"/>
      <c r="AF771" s="80"/>
      <c r="AG771" s="80"/>
      <c r="AH771" s="80"/>
      <c r="AI771" s="80"/>
      <c r="AJ771" s="80"/>
      <c r="AK771" s="80"/>
      <c r="AL771" s="80"/>
      <c r="AM771" s="80"/>
      <c r="AN771" s="2"/>
      <c r="AO771" s="2"/>
    </row>
    <row r="772" spans="1:41" ht="12.75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93"/>
      <c r="Q772" s="93"/>
      <c r="R772" s="93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  <c r="AD772" s="80"/>
      <c r="AE772" s="80"/>
      <c r="AF772" s="80"/>
      <c r="AG772" s="80"/>
      <c r="AH772" s="80"/>
      <c r="AI772" s="80"/>
      <c r="AJ772" s="80"/>
      <c r="AK772" s="80"/>
      <c r="AL772" s="80"/>
      <c r="AM772" s="80"/>
      <c r="AN772" s="2"/>
      <c r="AO772" s="2"/>
    </row>
    <row r="773" spans="1:41" ht="12.75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93"/>
      <c r="Q773" s="93"/>
      <c r="R773" s="93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  <c r="AD773" s="80"/>
      <c r="AE773" s="80"/>
      <c r="AF773" s="80"/>
      <c r="AG773" s="80"/>
      <c r="AH773" s="80"/>
      <c r="AI773" s="80"/>
      <c r="AJ773" s="80"/>
      <c r="AK773" s="80"/>
      <c r="AL773" s="80"/>
      <c r="AM773" s="80"/>
      <c r="AN773" s="2"/>
      <c r="AO773" s="2"/>
    </row>
    <row r="774" spans="1:41" ht="12.75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93"/>
      <c r="Q774" s="93"/>
      <c r="R774" s="93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  <c r="AD774" s="80"/>
      <c r="AE774" s="80"/>
      <c r="AF774" s="80"/>
      <c r="AG774" s="80"/>
      <c r="AH774" s="80"/>
      <c r="AI774" s="80"/>
      <c r="AJ774" s="80"/>
      <c r="AK774" s="80"/>
      <c r="AL774" s="80"/>
      <c r="AM774" s="80"/>
      <c r="AN774" s="2"/>
      <c r="AO774" s="2"/>
    </row>
    <row r="775" spans="1:41" ht="12.75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93"/>
      <c r="Q775" s="93"/>
      <c r="R775" s="93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  <c r="AD775" s="80"/>
      <c r="AE775" s="80"/>
      <c r="AF775" s="80"/>
      <c r="AG775" s="80"/>
      <c r="AH775" s="80"/>
      <c r="AI775" s="80"/>
      <c r="AJ775" s="80"/>
      <c r="AK775" s="80"/>
      <c r="AL775" s="80"/>
      <c r="AM775" s="80"/>
      <c r="AN775" s="2"/>
      <c r="AO775" s="2"/>
    </row>
    <row r="776" spans="1:41" ht="12.75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93"/>
      <c r="Q776" s="93"/>
      <c r="R776" s="93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  <c r="AD776" s="80"/>
      <c r="AE776" s="80"/>
      <c r="AF776" s="80"/>
      <c r="AG776" s="80"/>
      <c r="AH776" s="80"/>
      <c r="AI776" s="80"/>
      <c r="AJ776" s="80"/>
      <c r="AK776" s="80"/>
      <c r="AL776" s="80"/>
      <c r="AM776" s="80"/>
      <c r="AN776" s="2"/>
      <c r="AO776" s="2"/>
    </row>
    <row r="777" spans="1:41" ht="12.75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93"/>
      <c r="Q777" s="93"/>
      <c r="R777" s="93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  <c r="AD777" s="80"/>
      <c r="AE777" s="80"/>
      <c r="AF777" s="80"/>
      <c r="AG777" s="80"/>
      <c r="AH777" s="80"/>
      <c r="AI777" s="80"/>
      <c r="AJ777" s="80"/>
      <c r="AK777" s="80"/>
      <c r="AL777" s="80"/>
      <c r="AM777" s="80"/>
      <c r="AN777" s="2"/>
      <c r="AO777" s="2"/>
    </row>
    <row r="778" spans="1:41" ht="12.75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93"/>
      <c r="Q778" s="93"/>
      <c r="R778" s="93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  <c r="AD778" s="80"/>
      <c r="AE778" s="80"/>
      <c r="AF778" s="80"/>
      <c r="AG778" s="80"/>
      <c r="AH778" s="80"/>
      <c r="AI778" s="80"/>
      <c r="AJ778" s="80"/>
      <c r="AK778" s="80"/>
      <c r="AL778" s="80"/>
      <c r="AM778" s="80"/>
      <c r="AN778" s="2"/>
      <c r="AO778" s="2"/>
    </row>
    <row r="779" spans="1:41" ht="12.75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93"/>
      <c r="Q779" s="93"/>
      <c r="R779" s="93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  <c r="AD779" s="80"/>
      <c r="AE779" s="80"/>
      <c r="AF779" s="80"/>
      <c r="AG779" s="80"/>
      <c r="AH779" s="80"/>
      <c r="AI779" s="80"/>
      <c r="AJ779" s="80"/>
      <c r="AK779" s="80"/>
      <c r="AL779" s="80"/>
      <c r="AM779" s="80"/>
      <c r="AN779" s="2"/>
      <c r="AO779" s="2"/>
    </row>
    <row r="780" spans="1:41" ht="12.75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93"/>
      <c r="Q780" s="93"/>
      <c r="R780" s="93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  <c r="AD780" s="80"/>
      <c r="AE780" s="80"/>
      <c r="AF780" s="80"/>
      <c r="AG780" s="80"/>
      <c r="AH780" s="80"/>
      <c r="AI780" s="80"/>
      <c r="AJ780" s="80"/>
      <c r="AK780" s="80"/>
      <c r="AL780" s="80"/>
      <c r="AM780" s="80"/>
      <c r="AN780" s="2"/>
      <c r="AO780" s="2"/>
    </row>
    <row r="781" spans="1:41" ht="12.75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93"/>
      <c r="Q781" s="93"/>
      <c r="R781" s="93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  <c r="AD781" s="80"/>
      <c r="AE781" s="80"/>
      <c r="AF781" s="80"/>
      <c r="AG781" s="80"/>
      <c r="AH781" s="80"/>
      <c r="AI781" s="80"/>
      <c r="AJ781" s="80"/>
      <c r="AK781" s="80"/>
      <c r="AL781" s="80"/>
      <c r="AM781" s="80"/>
      <c r="AN781" s="2"/>
      <c r="AO781" s="2"/>
    </row>
    <row r="782" spans="1:41" ht="12.75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93"/>
      <c r="Q782" s="93"/>
      <c r="R782" s="93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  <c r="AD782" s="80"/>
      <c r="AE782" s="80"/>
      <c r="AF782" s="80"/>
      <c r="AG782" s="80"/>
      <c r="AH782" s="80"/>
      <c r="AI782" s="80"/>
      <c r="AJ782" s="80"/>
      <c r="AK782" s="80"/>
      <c r="AL782" s="80"/>
      <c r="AM782" s="80"/>
      <c r="AN782" s="2"/>
      <c r="AO782" s="2"/>
    </row>
    <row r="783" spans="1:41" ht="12.75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93"/>
      <c r="Q783" s="93"/>
      <c r="R783" s="93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  <c r="AD783" s="80"/>
      <c r="AE783" s="80"/>
      <c r="AF783" s="80"/>
      <c r="AG783" s="80"/>
      <c r="AH783" s="80"/>
      <c r="AI783" s="80"/>
      <c r="AJ783" s="80"/>
      <c r="AK783" s="80"/>
      <c r="AL783" s="80"/>
      <c r="AM783" s="80"/>
      <c r="AN783" s="2"/>
      <c r="AO783" s="2"/>
    </row>
    <row r="784" spans="1:41" ht="12.75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93"/>
      <c r="Q784" s="93"/>
      <c r="R784" s="93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  <c r="AD784" s="80"/>
      <c r="AE784" s="80"/>
      <c r="AF784" s="80"/>
      <c r="AG784" s="80"/>
      <c r="AH784" s="80"/>
      <c r="AI784" s="80"/>
      <c r="AJ784" s="80"/>
      <c r="AK784" s="80"/>
      <c r="AL784" s="80"/>
      <c r="AM784" s="80"/>
      <c r="AN784" s="2"/>
      <c r="AO784" s="2"/>
    </row>
    <row r="785" spans="1:41" ht="12.75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93"/>
      <c r="Q785" s="93"/>
      <c r="R785" s="93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  <c r="AC785" s="80"/>
      <c r="AD785" s="80"/>
      <c r="AE785" s="80"/>
      <c r="AF785" s="80"/>
      <c r="AG785" s="80"/>
      <c r="AH785" s="80"/>
      <c r="AI785" s="80"/>
      <c r="AJ785" s="80"/>
      <c r="AK785" s="80"/>
      <c r="AL785" s="80"/>
      <c r="AM785" s="80"/>
      <c r="AN785" s="2"/>
      <c r="AO785" s="2"/>
    </row>
    <row r="786" spans="1:41" ht="12.75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93"/>
      <c r="Q786" s="93"/>
      <c r="R786" s="93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  <c r="AC786" s="80"/>
      <c r="AD786" s="80"/>
      <c r="AE786" s="80"/>
      <c r="AF786" s="80"/>
      <c r="AG786" s="80"/>
      <c r="AH786" s="80"/>
      <c r="AI786" s="80"/>
      <c r="AJ786" s="80"/>
      <c r="AK786" s="80"/>
      <c r="AL786" s="80"/>
      <c r="AM786" s="80"/>
      <c r="AN786" s="2"/>
      <c r="AO786" s="2"/>
    </row>
    <row r="787" spans="1:41" ht="12.75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93"/>
      <c r="Q787" s="93"/>
      <c r="R787" s="93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  <c r="AC787" s="80"/>
      <c r="AD787" s="80"/>
      <c r="AE787" s="80"/>
      <c r="AF787" s="80"/>
      <c r="AG787" s="80"/>
      <c r="AH787" s="80"/>
      <c r="AI787" s="80"/>
      <c r="AJ787" s="80"/>
      <c r="AK787" s="80"/>
      <c r="AL787" s="80"/>
      <c r="AM787" s="80"/>
      <c r="AN787" s="2"/>
      <c r="AO787" s="2"/>
    </row>
    <row r="788" spans="1:41" ht="12.75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93"/>
      <c r="Q788" s="93"/>
      <c r="R788" s="93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  <c r="AD788" s="80"/>
      <c r="AE788" s="80"/>
      <c r="AF788" s="80"/>
      <c r="AG788" s="80"/>
      <c r="AH788" s="80"/>
      <c r="AI788" s="80"/>
      <c r="AJ788" s="80"/>
      <c r="AK788" s="80"/>
      <c r="AL788" s="80"/>
      <c r="AM788" s="80"/>
      <c r="AN788" s="2"/>
      <c r="AO788" s="2"/>
    </row>
    <row r="789" spans="1:41" ht="12.75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93"/>
      <c r="Q789" s="93"/>
      <c r="R789" s="93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  <c r="AC789" s="80"/>
      <c r="AD789" s="80"/>
      <c r="AE789" s="80"/>
      <c r="AF789" s="80"/>
      <c r="AG789" s="80"/>
      <c r="AH789" s="80"/>
      <c r="AI789" s="80"/>
      <c r="AJ789" s="80"/>
      <c r="AK789" s="80"/>
      <c r="AL789" s="80"/>
      <c r="AM789" s="80"/>
      <c r="AN789" s="2"/>
      <c r="AO789" s="2"/>
    </row>
    <row r="790" spans="1:41" ht="12.75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93"/>
      <c r="Q790" s="93"/>
      <c r="R790" s="93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  <c r="AC790" s="80"/>
      <c r="AD790" s="80"/>
      <c r="AE790" s="80"/>
      <c r="AF790" s="80"/>
      <c r="AG790" s="80"/>
      <c r="AH790" s="80"/>
      <c r="AI790" s="80"/>
      <c r="AJ790" s="80"/>
      <c r="AK790" s="80"/>
      <c r="AL790" s="80"/>
      <c r="AM790" s="80"/>
      <c r="AN790" s="2"/>
      <c r="AO790" s="2"/>
    </row>
    <row r="791" spans="1:41" ht="12.75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93"/>
      <c r="Q791" s="93"/>
      <c r="R791" s="93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  <c r="AC791" s="80"/>
      <c r="AD791" s="80"/>
      <c r="AE791" s="80"/>
      <c r="AF791" s="80"/>
      <c r="AG791" s="80"/>
      <c r="AH791" s="80"/>
      <c r="AI791" s="80"/>
      <c r="AJ791" s="80"/>
      <c r="AK791" s="80"/>
      <c r="AL791" s="80"/>
      <c r="AM791" s="80"/>
      <c r="AN791" s="2"/>
      <c r="AO791" s="2"/>
    </row>
    <row r="792" spans="1:41" ht="12.75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93"/>
      <c r="Q792" s="93"/>
      <c r="R792" s="93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  <c r="AC792" s="80"/>
      <c r="AD792" s="80"/>
      <c r="AE792" s="80"/>
      <c r="AF792" s="80"/>
      <c r="AG792" s="80"/>
      <c r="AH792" s="80"/>
      <c r="AI792" s="80"/>
      <c r="AJ792" s="80"/>
      <c r="AK792" s="80"/>
      <c r="AL792" s="80"/>
      <c r="AM792" s="80"/>
      <c r="AN792" s="2"/>
      <c r="AO792" s="2"/>
    </row>
    <row r="793" spans="1:41" ht="12.75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93"/>
      <c r="Q793" s="93"/>
      <c r="R793" s="93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  <c r="AC793" s="80"/>
      <c r="AD793" s="80"/>
      <c r="AE793" s="80"/>
      <c r="AF793" s="80"/>
      <c r="AG793" s="80"/>
      <c r="AH793" s="80"/>
      <c r="AI793" s="80"/>
      <c r="AJ793" s="80"/>
      <c r="AK793" s="80"/>
      <c r="AL793" s="80"/>
      <c r="AM793" s="80"/>
      <c r="AN793" s="2"/>
      <c r="AO793" s="2"/>
    </row>
    <row r="794" spans="1:41" ht="12.75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93"/>
      <c r="Q794" s="93"/>
      <c r="R794" s="93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  <c r="AC794" s="80"/>
      <c r="AD794" s="80"/>
      <c r="AE794" s="80"/>
      <c r="AF794" s="80"/>
      <c r="AG794" s="80"/>
      <c r="AH794" s="80"/>
      <c r="AI794" s="80"/>
      <c r="AJ794" s="80"/>
      <c r="AK794" s="80"/>
      <c r="AL794" s="80"/>
      <c r="AM794" s="80"/>
      <c r="AN794" s="2"/>
      <c r="AO794" s="2"/>
    </row>
    <row r="795" spans="1:41" ht="12.75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93"/>
      <c r="Q795" s="93"/>
      <c r="R795" s="93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  <c r="AC795" s="80"/>
      <c r="AD795" s="80"/>
      <c r="AE795" s="80"/>
      <c r="AF795" s="80"/>
      <c r="AG795" s="80"/>
      <c r="AH795" s="80"/>
      <c r="AI795" s="80"/>
      <c r="AJ795" s="80"/>
      <c r="AK795" s="80"/>
      <c r="AL795" s="80"/>
      <c r="AM795" s="80"/>
      <c r="AN795" s="2"/>
      <c r="AO795" s="2"/>
    </row>
    <row r="796" spans="1:41" ht="12.75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93"/>
      <c r="Q796" s="93"/>
      <c r="R796" s="93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  <c r="AC796" s="80"/>
      <c r="AD796" s="80"/>
      <c r="AE796" s="80"/>
      <c r="AF796" s="80"/>
      <c r="AG796" s="80"/>
      <c r="AH796" s="80"/>
      <c r="AI796" s="80"/>
      <c r="AJ796" s="80"/>
      <c r="AK796" s="80"/>
      <c r="AL796" s="80"/>
      <c r="AM796" s="80"/>
      <c r="AN796" s="2"/>
      <c r="AO796" s="2"/>
    </row>
    <row r="797" spans="1:41" ht="12.75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93"/>
      <c r="Q797" s="93"/>
      <c r="R797" s="93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  <c r="AC797" s="80"/>
      <c r="AD797" s="80"/>
      <c r="AE797" s="80"/>
      <c r="AF797" s="80"/>
      <c r="AG797" s="80"/>
      <c r="AH797" s="80"/>
      <c r="AI797" s="80"/>
      <c r="AJ797" s="80"/>
      <c r="AK797" s="80"/>
      <c r="AL797" s="80"/>
      <c r="AM797" s="80"/>
      <c r="AN797" s="2"/>
      <c r="AO797" s="2"/>
    </row>
    <row r="798" spans="1:41" ht="12.75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93"/>
      <c r="Q798" s="93"/>
      <c r="R798" s="93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  <c r="AC798" s="80"/>
      <c r="AD798" s="80"/>
      <c r="AE798" s="80"/>
      <c r="AF798" s="80"/>
      <c r="AG798" s="80"/>
      <c r="AH798" s="80"/>
      <c r="AI798" s="80"/>
      <c r="AJ798" s="80"/>
      <c r="AK798" s="80"/>
      <c r="AL798" s="80"/>
      <c r="AM798" s="80"/>
      <c r="AN798" s="2"/>
      <c r="AO798" s="2"/>
    </row>
    <row r="799" spans="1:41" ht="12.75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93"/>
      <c r="Q799" s="93"/>
      <c r="R799" s="93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  <c r="AC799" s="80"/>
      <c r="AD799" s="80"/>
      <c r="AE799" s="80"/>
      <c r="AF799" s="80"/>
      <c r="AG799" s="80"/>
      <c r="AH799" s="80"/>
      <c r="AI799" s="80"/>
      <c r="AJ799" s="80"/>
      <c r="AK799" s="80"/>
      <c r="AL799" s="80"/>
      <c r="AM799" s="80"/>
      <c r="AN799" s="2"/>
      <c r="AO799" s="2"/>
    </row>
    <row r="800" spans="1:41" ht="12.75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93"/>
      <c r="Q800" s="93"/>
      <c r="R800" s="93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  <c r="AC800" s="80"/>
      <c r="AD800" s="80"/>
      <c r="AE800" s="80"/>
      <c r="AF800" s="80"/>
      <c r="AG800" s="80"/>
      <c r="AH800" s="80"/>
      <c r="AI800" s="80"/>
      <c r="AJ800" s="80"/>
      <c r="AK800" s="80"/>
      <c r="AL800" s="80"/>
      <c r="AM800" s="80"/>
      <c r="AN800" s="2"/>
      <c r="AO800" s="2"/>
    </row>
    <row r="801" spans="1:41" ht="12.75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93"/>
      <c r="Q801" s="93"/>
      <c r="R801" s="93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  <c r="AD801" s="80"/>
      <c r="AE801" s="80"/>
      <c r="AF801" s="80"/>
      <c r="AG801" s="80"/>
      <c r="AH801" s="80"/>
      <c r="AI801" s="80"/>
      <c r="AJ801" s="80"/>
      <c r="AK801" s="80"/>
      <c r="AL801" s="80"/>
      <c r="AM801" s="80"/>
      <c r="AN801" s="2"/>
      <c r="AO801" s="2"/>
    </row>
    <row r="802" spans="1:41" ht="12.75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93"/>
      <c r="Q802" s="93"/>
      <c r="R802" s="93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  <c r="AC802" s="80"/>
      <c r="AD802" s="80"/>
      <c r="AE802" s="80"/>
      <c r="AF802" s="80"/>
      <c r="AG802" s="80"/>
      <c r="AH802" s="80"/>
      <c r="AI802" s="80"/>
      <c r="AJ802" s="80"/>
      <c r="AK802" s="80"/>
      <c r="AL802" s="80"/>
      <c r="AM802" s="80"/>
      <c r="AN802" s="2"/>
      <c r="AO802" s="2"/>
    </row>
    <row r="803" spans="1:41" ht="12.75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93"/>
      <c r="Q803" s="93"/>
      <c r="R803" s="93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2"/>
      <c r="AO803" s="2"/>
    </row>
    <row r="804" spans="1:41" ht="12.75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93"/>
      <c r="Q804" s="93"/>
      <c r="R804" s="93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  <c r="AC804" s="80"/>
      <c r="AD804" s="80"/>
      <c r="AE804" s="80"/>
      <c r="AF804" s="80"/>
      <c r="AG804" s="80"/>
      <c r="AH804" s="80"/>
      <c r="AI804" s="80"/>
      <c r="AJ804" s="80"/>
      <c r="AK804" s="80"/>
      <c r="AL804" s="80"/>
      <c r="AM804" s="80"/>
      <c r="AN804" s="2"/>
      <c r="AO804" s="2"/>
    </row>
    <row r="805" spans="1:41" ht="12.75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93"/>
      <c r="Q805" s="93"/>
      <c r="R805" s="93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  <c r="AC805" s="80"/>
      <c r="AD805" s="80"/>
      <c r="AE805" s="80"/>
      <c r="AF805" s="80"/>
      <c r="AG805" s="80"/>
      <c r="AH805" s="80"/>
      <c r="AI805" s="80"/>
      <c r="AJ805" s="80"/>
      <c r="AK805" s="80"/>
      <c r="AL805" s="80"/>
      <c r="AM805" s="80"/>
      <c r="AN805" s="2"/>
      <c r="AO805" s="2"/>
    </row>
    <row r="806" spans="1:41" ht="12.75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93"/>
      <c r="Q806" s="93"/>
      <c r="R806" s="93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  <c r="AC806" s="80"/>
      <c r="AD806" s="80"/>
      <c r="AE806" s="80"/>
      <c r="AF806" s="80"/>
      <c r="AG806" s="80"/>
      <c r="AH806" s="80"/>
      <c r="AI806" s="80"/>
      <c r="AJ806" s="80"/>
      <c r="AK806" s="80"/>
      <c r="AL806" s="80"/>
      <c r="AM806" s="80"/>
      <c r="AN806" s="2"/>
      <c r="AO806" s="2"/>
    </row>
    <row r="807" spans="1:41" ht="12.75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93"/>
      <c r="Q807" s="93"/>
      <c r="R807" s="93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  <c r="AC807" s="80"/>
      <c r="AD807" s="80"/>
      <c r="AE807" s="80"/>
      <c r="AF807" s="80"/>
      <c r="AG807" s="80"/>
      <c r="AH807" s="80"/>
      <c r="AI807" s="80"/>
      <c r="AJ807" s="80"/>
      <c r="AK807" s="80"/>
      <c r="AL807" s="80"/>
      <c r="AM807" s="80"/>
      <c r="AN807" s="2"/>
      <c r="AO807" s="2"/>
    </row>
    <row r="808" spans="1:41" ht="12.75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93"/>
      <c r="Q808" s="93"/>
      <c r="R808" s="93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  <c r="AC808" s="80"/>
      <c r="AD808" s="80"/>
      <c r="AE808" s="80"/>
      <c r="AF808" s="80"/>
      <c r="AG808" s="80"/>
      <c r="AH808" s="80"/>
      <c r="AI808" s="80"/>
      <c r="AJ808" s="80"/>
      <c r="AK808" s="80"/>
      <c r="AL808" s="80"/>
      <c r="AM808" s="80"/>
      <c r="AN808" s="2"/>
      <c r="AO808" s="2"/>
    </row>
    <row r="809" spans="1:41" ht="12.75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93"/>
      <c r="Q809" s="93"/>
      <c r="R809" s="93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80"/>
      <c r="AD809" s="80"/>
      <c r="AE809" s="80"/>
      <c r="AF809" s="80"/>
      <c r="AG809" s="80"/>
      <c r="AH809" s="80"/>
      <c r="AI809" s="80"/>
      <c r="AJ809" s="80"/>
      <c r="AK809" s="80"/>
      <c r="AL809" s="80"/>
      <c r="AM809" s="80"/>
      <c r="AN809" s="2"/>
      <c r="AO809" s="2"/>
    </row>
    <row r="810" spans="1:41" ht="12.75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93"/>
      <c r="Q810" s="93"/>
      <c r="R810" s="93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80"/>
      <c r="AD810" s="80"/>
      <c r="AE810" s="80"/>
      <c r="AF810" s="80"/>
      <c r="AG810" s="80"/>
      <c r="AH810" s="80"/>
      <c r="AI810" s="80"/>
      <c r="AJ810" s="80"/>
      <c r="AK810" s="80"/>
      <c r="AL810" s="80"/>
      <c r="AM810" s="80"/>
      <c r="AN810" s="2"/>
      <c r="AO810" s="2"/>
    </row>
    <row r="811" spans="1:41" ht="12.75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93"/>
      <c r="Q811" s="93"/>
      <c r="R811" s="93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  <c r="AC811" s="80"/>
      <c r="AD811" s="80"/>
      <c r="AE811" s="80"/>
      <c r="AF811" s="80"/>
      <c r="AG811" s="80"/>
      <c r="AH811" s="80"/>
      <c r="AI811" s="80"/>
      <c r="AJ811" s="80"/>
      <c r="AK811" s="80"/>
      <c r="AL811" s="80"/>
      <c r="AM811" s="80"/>
      <c r="AN811" s="2"/>
      <c r="AO811" s="2"/>
    </row>
    <row r="812" spans="1:41" ht="12.75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93"/>
      <c r="Q812" s="93"/>
      <c r="R812" s="93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  <c r="AC812" s="80"/>
      <c r="AD812" s="80"/>
      <c r="AE812" s="80"/>
      <c r="AF812" s="80"/>
      <c r="AG812" s="80"/>
      <c r="AH812" s="80"/>
      <c r="AI812" s="80"/>
      <c r="AJ812" s="80"/>
      <c r="AK812" s="80"/>
      <c r="AL812" s="80"/>
      <c r="AM812" s="80"/>
      <c r="AN812" s="2"/>
      <c r="AO812" s="2"/>
    </row>
    <row r="813" spans="1:41" ht="12.75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93"/>
      <c r="Q813" s="93"/>
      <c r="R813" s="93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80"/>
      <c r="AD813" s="80"/>
      <c r="AE813" s="80"/>
      <c r="AF813" s="80"/>
      <c r="AG813" s="80"/>
      <c r="AH813" s="80"/>
      <c r="AI813" s="80"/>
      <c r="AJ813" s="80"/>
      <c r="AK813" s="80"/>
      <c r="AL813" s="80"/>
      <c r="AM813" s="80"/>
      <c r="AN813" s="2"/>
      <c r="AO813" s="2"/>
    </row>
    <row r="814" spans="1:41" ht="12.75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93"/>
      <c r="Q814" s="93"/>
      <c r="R814" s="93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80"/>
      <c r="AD814" s="80"/>
      <c r="AE814" s="80"/>
      <c r="AF814" s="80"/>
      <c r="AG814" s="80"/>
      <c r="AH814" s="80"/>
      <c r="AI814" s="80"/>
      <c r="AJ814" s="80"/>
      <c r="AK814" s="80"/>
      <c r="AL814" s="80"/>
      <c r="AM814" s="80"/>
      <c r="AN814" s="2"/>
      <c r="AO814" s="2"/>
    </row>
    <row r="815" spans="1:41" ht="12.75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93"/>
      <c r="Q815" s="93"/>
      <c r="R815" s="93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  <c r="AC815" s="80"/>
      <c r="AD815" s="80"/>
      <c r="AE815" s="80"/>
      <c r="AF815" s="80"/>
      <c r="AG815" s="80"/>
      <c r="AH815" s="80"/>
      <c r="AI815" s="80"/>
      <c r="AJ815" s="80"/>
      <c r="AK815" s="80"/>
      <c r="AL815" s="80"/>
      <c r="AM815" s="80"/>
      <c r="AN815" s="2"/>
      <c r="AO815" s="2"/>
    </row>
    <row r="816" spans="1:41" ht="12.75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93"/>
      <c r="Q816" s="93"/>
      <c r="R816" s="93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80"/>
      <c r="AD816" s="80"/>
      <c r="AE816" s="80"/>
      <c r="AF816" s="80"/>
      <c r="AG816" s="80"/>
      <c r="AH816" s="80"/>
      <c r="AI816" s="80"/>
      <c r="AJ816" s="80"/>
      <c r="AK816" s="80"/>
      <c r="AL816" s="80"/>
      <c r="AM816" s="80"/>
      <c r="AN816" s="2"/>
      <c r="AO816" s="2"/>
    </row>
    <row r="817" spans="1:41" ht="12.75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93"/>
      <c r="Q817" s="93"/>
      <c r="R817" s="93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80"/>
      <c r="AD817" s="80"/>
      <c r="AE817" s="80"/>
      <c r="AF817" s="80"/>
      <c r="AG817" s="80"/>
      <c r="AH817" s="80"/>
      <c r="AI817" s="80"/>
      <c r="AJ817" s="80"/>
      <c r="AK817" s="80"/>
      <c r="AL817" s="80"/>
      <c r="AM817" s="80"/>
      <c r="AN817" s="2"/>
      <c r="AO817" s="2"/>
    </row>
    <row r="818" spans="1:41" ht="12.75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93"/>
      <c r="Q818" s="93"/>
      <c r="R818" s="93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  <c r="AC818" s="80"/>
      <c r="AD818" s="80"/>
      <c r="AE818" s="80"/>
      <c r="AF818" s="80"/>
      <c r="AG818" s="80"/>
      <c r="AH818" s="80"/>
      <c r="AI818" s="80"/>
      <c r="AJ818" s="80"/>
      <c r="AK818" s="80"/>
      <c r="AL818" s="80"/>
      <c r="AM818" s="80"/>
      <c r="AN818" s="2"/>
      <c r="AO818" s="2"/>
    </row>
    <row r="819" spans="1:41" ht="12.75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93"/>
      <c r="Q819" s="93"/>
      <c r="R819" s="93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  <c r="AC819" s="80"/>
      <c r="AD819" s="80"/>
      <c r="AE819" s="80"/>
      <c r="AF819" s="80"/>
      <c r="AG819" s="80"/>
      <c r="AH819" s="80"/>
      <c r="AI819" s="80"/>
      <c r="AJ819" s="80"/>
      <c r="AK819" s="80"/>
      <c r="AL819" s="80"/>
      <c r="AM819" s="80"/>
      <c r="AN819" s="2"/>
      <c r="AO819" s="2"/>
    </row>
    <row r="820" spans="1:41" ht="12.75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93"/>
      <c r="Q820" s="93"/>
      <c r="R820" s="93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80"/>
      <c r="AD820" s="80"/>
      <c r="AE820" s="80"/>
      <c r="AF820" s="80"/>
      <c r="AG820" s="80"/>
      <c r="AH820" s="80"/>
      <c r="AI820" s="80"/>
      <c r="AJ820" s="80"/>
      <c r="AK820" s="80"/>
      <c r="AL820" s="80"/>
      <c r="AM820" s="80"/>
      <c r="AN820" s="2"/>
      <c r="AO820" s="2"/>
    </row>
    <row r="821" spans="1:41" ht="12.75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93"/>
      <c r="Q821" s="93"/>
      <c r="R821" s="93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  <c r="AC821" s="80"/>
      <c r="AD821" s="80"/>
      <c r="AE821" s="80"/>
      <c r="AF821" s="80"/>
      <c r="AG821" s="80"/>
      <c r="AH821" s="80"/>
      <c r="AI821" s="80"/>
      <c r="AJ821" s="80"/>
      <c r="AK821" s="80"/>
      <c r="AL821" s="80"/>
      <c r="AM821" s="80"/>
      <c r="AN821" s="2"/>
      <c r="AO821" s="2"/>
    </row>
    <row r="822" spans="1:41" ht="12.75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93"/>
      <c r="Q822" s="93"/>
      <c r="R822" s="93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  <c r="AD822" s="80"/>
      <c r="AE822" s="80"/>
      <c r="AF822" s="80"/>
      <c r="AG822" s="80"/>
      <c r="AH822" s="80"/>
      <c r="AI822" s="80"/>
      <c r="AJ822" s="80"/>
      <c r="AK822" s="80"/>
      <c r="AL822" s="80"/>
      <c r="AM822" s="80"/>
      <c r="AN822" s="2"/>
      <c r="AO822" s="2"/>
    </row>
    <row r="823" spans="1:41" ht="12.75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93"/>
      <c r="Q823" s="93"/>
      <c r="R823" s="93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  <c r="AD823" s="80"/>
      <c r="AE823" s="80"/>
      <c r="AF823" s="80"/>
      <c r="AG823" s="80"/>
      <c r="AH823" s="80"/>
      <c r="AI823" s="80"/>
      <c r="AJ823" s="80"/>
      <c r="AK823" s="80"/>
      <c r="AL823" s="80"/>
      <c r="AM823" s="80"/>
      <c r="AN823" s="2"/>
      <c r="AO823" s="2"/>
    </row>
    <row r="824" spans="1:41" ht="12.75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93"/>
      <c r="Q824" s="93"/>
      <c r="R824" s="93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  <c r="AC824" s="80"/>
      <c r="AD824" s="80"/>
      <c r="AE824" s="80"/>
      <c r="AF824" s="80"/>
      <c r="AG824" s="80"/>
      <c r="AH824" s="80"/>
      <c r="AI824" s="80"/>
      <c r="AJ824" s="80"/>
      <c r="AK824" s="80"/>
      <c r="AL824" s="80"/>
      <c r="AM824" s="80"/>
      <c r="AN824" s="2"/>
      <c r="AO824" s="2"/>
    </row>
    <row r="825" spans="1:41" ht="12.75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93"/>
      <c r="Q825" s="93"/>
      <c r="R825" s="93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  <c r="AC825" s="80"/>
      <c r="AD825" s="80"/>
      <c r="AE825" s="80"/>
      <c r="AF825" s="80"/>
      <c r="AG825" s="80"/>
      <c r="AH825" s="80"/>
      <c r="AI825" s="80"/>
      <c r="AJ825" s="80"/>
      <c r="AK825" s="80"/>
      <c r="AL825" s="80"/>
      <c r="AM825" s="80"/>
      <c r="AN825" s="2"/>
      <c r="AO825" s="2"/>
    </row>
    <row r="826" spans="1:41" ht="12.75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93"/>
      <c r="Q826" s="93"/>
      <c r="R826" s="93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80"/>
      <c r="AD826" s="80"/>
      <c r="AE826" s="80"/>
      <c r="AF826" s="80"/>
      <c r="AG826" s="80"/>
      <c r="AH826" s="80"/>
      <c r="AI826" s="80"/>
      <c r="AJ826" s="80"/>
      <c r="AK826" s="80"/>
      <c r="AL826" s="80"/>
      <c r="AM826" s="80"/>
      <c r="AN826" s="2"/>
      <c r="AO826" s="2"/>
    </row>
    <row r="827" spans="1:41" ht="12.75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93"/>
      <c r="Q827" s="93"/>
      <c r="R827" s="93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  <c r="AC827" s="80"/>
      <c r="AD827" s="80"/>
      <c r="AE827" s="80"/>
      <c r="AF827" s="80"/>
      <c r="AG827" s="80"/>
      <c r="AH827" s="80"/>
      <c r="AI827" s="80"/>
      <c r="AJ827" s="80"/>
      <c r="AK827" s="80"/>
      <c r="AL827" s="80"/>
      <c r="AM827" s="80"/>
      <c r="AN827" s="2"/>
      <c r="AO827" s="2"/>
    </row>
    <row r="828" spans="1:41" ht="12.75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93"/>
      <c r="Q828" s="93"/>
      <c r="R828" s="93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  <c r="AC828" s="80"/>
      <c r="AD828" s="80"/>
      <c r="AE828" s="80"/>
      <c r="AF828" s="80"/>
      <c r="AG828" s="80"/>
      <c r="AH828" s="80"/>
      <c r="AI828" s="80"/>
      <c r="AJ828" s="80"/>
      <c r="AK828" s="80"/>
      <c r="AL828" s="80"/>
      <c r="AM828" s="80"/>
      <c r="AN828" s="2"/>
      <c r="AO828" s="2"/>
    </row>
    <row r="829" spans="1:41" ht="12.75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93"/>
      <c r="Q829" s="93"/>
      <c r="R829" s="93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  <c r="AD829" s="80"/>
      <c r="AE829" s="80"/>
      <c r="AF829" s="80"/>
      <c r="AG829" s="80"/>
      <c r="AH829" s="80"/>
      <c r="AI829" s="80"/>
      <c r="AJ829" s="80"/>
      <c r="AK829" s="80"/>
      <c r="AL829" s="80"/>
      <c r="AM829" s="80"/>
      <c r="AN829" s="2"/>
      <c r="AO829" s="2"/>
    </row>
    <row r="830" spans="1:41" ht="12.75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93"/>
      <c r="Q830" s="93"/>
      <c r="R830" s="93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  <c r="AC830" s="80"/>
      <c r="AD830" s="80"/>
      <c r="AE830" s="80"/>
      <c r="AF830" s="80"/>
      <c r="AG830" s="80"/>
      <c r="AH830" s="80"/>
      <c r="AI830" s="80"/>
      <c r="AJ830" s="80"/>
      <c r="AK830" s="80"/>
      <c r="AL830" s="80"/>
      <c r="AM830" s="80"/>
      <c r="AN830" s="2"/>
      <c r="AO830" s="2"/>
    </row>
    <row r="831" spans="1:41" ht="12.75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93"/>
      <c r="Q831" s="93"/>
      <c r="R831" s="93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  <c r="AC831" s="80"/>
      <c r="AD831" s="80"/>
      <c r="AE831" s="80"/>
      <c r="AF831" s="80"/>
      <c r="AG831" s="80"/>
      <c r="AH831" s="80"/>
      <c r="AI831" s="80"/>
      <c r="AJ831" s="80"/>
      <c r="AK831" s="80"/>
      <c r="AL831" s="80"/>
      <c r="AM831" s="80"/>
      <c r="AN831" s="2"/>
      <c r="AO831" s="2"/>
    </row>
    <row r="832" spans="1:41" ht="12.75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93"/>
      <c r="Q832" s="93"/>
      <c r="R832" s="93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  <c r="AD832" s="80"/>
      <c r="AE832" s="80"/>
      <c r="AF832" s="80"/>
      <c r="AG832" s="80"/>
      <c r="AH832" s="80"/>
      <c r="AI832" s="80"/>
      <c r="AJ832" s="80"/>
      <c r="AK832" s="80"/>
      <c r="AL832" s="80"/>
      <c r="AM832" s="80"/>
      <c r="AN832" s="2"/>
      <c r="AO832" s="2"/>
    </row>
    <row r="833" spans="1:41" ht="12.75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93"/>
      <c r="Q833" s="93"/>
      <c r="R833" s="93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  <c r="AD833" s="80"/>
      <c r="AE833" s="80"/>
      <c r="AF833" s="80"/>
      <c r="AG833" s="80"/>
      <c r="AH833" s="80"/>
      <c r="AI833" s="80"/>
      <c r="AJ833" s="80"/>
      <c r="AK833" s="80"/>
      <c r="AL833" s="80"/>
      <c r="AM833" s="80"/>
      <c r="AN833" s="2"/>
      <c r="AO833" s="2"/>
    </row>
    <row r="834" spans="1:41" ht="12.75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93"/>
      <c r="Q834" s="93"/>
      <c r="R834" s="93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  <c r="AD834" s="80"/>
      <c r="AE834" s="80"/>
      <c r="AF834" s="80"/>
      <c r="AG834" s="80"/>
      <c r="AH834" s="80"/>
      <c r="AI834" s="80"/>
      <c r="AJ834" s="80"/>
      <c r="AK834" s="80"/>
      <c r="AL834" s="80"/>
      <c r="AM834" s="80"/>
      <c r="AN834" s="2"/>
      <c r="AO834" s="2"/>
    </row>
    <row r="835" spans="1:41" ht="12.75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93"/>
      <c r="Q835" s="93"/>
      <c r="R835" s="93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  <c r="AD835" s="80"/>
      <c r="AE835" s="80"/>
      <c r="AF835" s="80"/>
      <c r="AG835" s="80"/>
      <c r="AH835" s="80"/>
      <c r="AI835" s="80"/>
      <c r="AJ835" s="80"/>
      <c r="AK835" s="80"/>
      <c r="AL835" s="80"/>
      <c r="AM835" s="80"/>
      <c r="AN835" s="2"/>
      <c r="AO835" s="2"/>
    </row>
    <row r="836" spans="1:41" ht="12.75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93"/>
      <c r="Q836" s="93"/>
      <c r="R836" s="93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  <c r="AC836" s="80"/>
      <c r="AD836" s="80"/>
      <c r="AE836" s="80"/>
      <c r="AF836" s="80"/>
      <c r="AG836" s="80"/>
      <c r="AH836" s="80"/>
      <c r="AI836" s="80"/>
      <c r="AJ836" s="80"/>
      <c r="AK836" s="80"/>
      <c r="AL836" s="80"/>
      <c r="AM836" s="80"/>
      <c r="AN836" s="2"/>
      <c r="AO836" s="2"/>
    </row>
    <row r="837" spans="1:41" ht="12.75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93"/>
      <c r="Q837" s="93"/>
      <c r="R837" s="93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  <c r="AD837" s="80"/>
      <c r="AE837" s="80"/>
      <c r="AF837" s="80"/>
      <c r="AG837" s="80"/>
      <c r="AH837" s="80"/>
      <c r="AI837" s="80"/>
      <c r="AJ837" s="80"/>
      <c r="AK837" s="80"/>
      <c r="AL837" s="80"/>
      <c r="AM837" s="80"/>
      <c r="AN837" s="2"/>
      <c r="AO837" s="2"/>
    </row>
    <row r="838" spans="1:41" ht="12.75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93"/>
      <c r="Q838" s="93"/>
      <c r="R838" s="93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  <c r="AD838" s="80"/>
      <c r="AE838" s="80"/>
      <c r="AF838" s="80"/>
      <c r="AG838" s="80"/>
      <c r="AH838" s="80"/>
      <c r="AI838" s="80"/>
      <c r="AJ838" s="80"/>
      <c r="AK838" s="80"/>
      <c r="AL838" s="80"/>
      <c r="AM838" s="80"/>
      <c r="AN838" s="2"/>
      <c r="AO838" s="2"/>
    </row>
    <row r="839" spans="1:41" ht="12.75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93"/>
      <c r="Q839" s="93"/>
      <c r="R839" s="93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  <c r="AD839" s="80"/>
      <c r="AE839" s="80"/>
      <c r="AF839" s="80"/>
      <c r="AG839" s="80"/>
      <c r="AH839" s="80"/>
      <c r="AI839" s="80"/>
      <c r="AJ839" s="80"/>
      <c r="AK839" s="80"/>
      <c r="AL839" s="80"/>
      <c r="AM839" s="80"/>
      <c r="AN839" s="2"/>
      <c r="AO839" s="2"/>
    </row>
    <row r="840" spans="1:41" ht="12.75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93"/>
      <c r="Q840" s="93"/>
      <c r="R840" s="93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  <c r="AD840" s="80"/>
      <c r="AE840" s="80"/>
      <c r="AF840" s="80"/>
      <c r="AG840" s="80"/>
      <c r="AH840" s="80"/>
      <c r="AI840" s="80"/>
      <c r="AJ840" s="80"/>
      <c r="AK840" s="80"/>
      <c r="AL840" s="80"/>
      <c r="AM840" s="80"/>
      <c r="AN840" s="2"/>
      <c r="AO840" s="2"/>
    </row>
    <row r="841" spans="1:41" ht="12.75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93"/>
      <c r="Q841" s="93"/>
      <c r="R841" s="93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  <c r="AD841" s="80"/>
      <c r="AE841" s="80"/>
      <c r="AF841" s="80"/>
      <c r="AG841" s="80"/>
      <c r="AH841" s="80"/>
      <c r="AI841" s="80"/>
      <c r="AJ841" s="80"/>
      <c r="AK841" s="80"/>
      <c r="AL841" s="80"/>
      <c r="AM841" s="80"/>
      <c r="AN841" s="2"/>
      <c r="AO841" s="2"/>
    </row>
    <row r="842" spans="1:41" ht="12.75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93"/>
      <c r="Q842" s="93"/>
      <c r="R842" s="93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  <c r="AC842" s="80"/>
      <c r="AD842" s="80"/>
      <c r="AE842" s="80"/>
      <c r="AF842" s="80"/>
      <c r="AG842" s="80"/>
      <c r="AH842" s="80"/>
      <c r="AI842" s="80"/>
      <c r="AJ842" s="80"/>
      <c r="AK842" s="80"/>
      <c r="AL842" s="80"/>
      <c r="AM842" s="80"/>
      <c r="AN842" s="2"/>
      <c r="AO842" s="2"/>
    </row>
    <row r="843" spans="1:41" ht="12.75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93"/>
      <c r="Q843" s="93"/>
      <c r="R843" s="93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2"/>
      <c r="AO843" s="2"/>
    </row>
    <row r="844" spans="1:41" ht="12.75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93"/>
      <c r="Q844" s="93"/>
      <c r="R844" s="93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80"/>
      <c r="AD844" s="80"/>
      <c r="AE844" s="80"/>
      <c r="AF844" s="80"/>
      <c r="AG844" s="80"/>
      <c r="AH844" s="80"/>
      <c r="AI844" s="80"/>
      <c r="AJ844" s="80"/>
      <c r="AK844" s="80"/>
      <c r="AL844" s="80"/>
      <c r="AM844" s="80"/>
      <c r="AN844" s="2"/>
      <c r="AO844" s="2"/>
    </row>
    <row r="845" spans="1:41" ht="12.75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93"/>
      <c r="Q845" s="93"/>
      <c r="R845" s="93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  <c r="AD845" s="80"/>
      <c r="AE845" s="80"/>
      <c r="AF845" s="80"/>
      <c r="AG845" s="80"/>
      <c r="AH845" s="80"/>
      <c r="AI845" s="80"/>
      <c r="AJ845" s="80"/>
      <c r="AK845" s="80"/>
      <c r="AL845" s="80"/>
      <c r="AM845" s="80"/>
      <c r="AN845" s="2"/>
      <c r="AO845" s="2"/>
    </row>
    <row r="846" spans="1:41" ht="12.75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93"/>
      <c r="Q846" s="93"/>
      <c r="R846" s="93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80"/>
      <c r="AD846" s="80"/>
      <c r="AE846" s="80"/>
      <c r="AF846" s="80"/>
      <c r="AG846" s="80"/>
      <c r="AH846" s="80"/>
      <c r="AI846" s="80"/>
      <c r="AJ846" s="80"/>
      <c r="AK846" s="80"/>
      <c r="AL846" s="80"/>
      <c r="AM846" s="80"/>
      <c r="AN846" s="2"/>
      <c r="AO846" s="2"/>
    </row>
    <row r="847" spans="1:41" ht="12.75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93"/>
      <c r="Q847" s="93"/>
      <c r="R847" s="93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  <c r="AC847" s="80"/>
      <c r="AD847" s="80"/>
      <c r="AE847" s="80"/>
      <c r="AF847" s="80"/>
      <c r="AG847" s="80"/>
      <c r="AH847" s="80"/>
      <c r="AI847" s="80"/>
      <c r="AJ847" s="80"/>
      <c r="AK847" s="80"/>
      <c r="AL847" s="80"/>
      <c r="AM847" s="80"/>
      <c r="AN847" s="2"/>
      <c r="AO847" s="2"/>
    </row>
    <row r="848" spans="1:41" ht="12.75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93"/>
      <c r="Q848" s="93"/>
      <c r="R848" s="93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  <c r="AD848" s="80"/>
      <c r="AE848" s="80"/>
      <c r="AF848" s="80"/>
      <c r="AG848" s="80"/>
      <c r="AH848" s="80"/>
      <c r="AI848" s="80"/>
      <c r="AJ848" s="80"/>
      <c r="AK848" s="80"/>
      <c r="AL848" s="80"/>
      <c r="AM848" s="80"/>
      <c r="AN848" s="2"/>
      <c r="AO848" s="2"/>
    </row>
    <row r="849" spans="1:41" ht="12.75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93"/>
      <c r="Q849" s="93"/>
      <c r="R849" s="93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  <c r="AC849" s="80"/>
      <c r="AD849" s="80"/>
      <c r="AE849" s="80"/>
      <c r="AF849" s="80"/>
      <c r="AG849" s="80"/>
      <c r="AH849" s="80"/>
      <c r="AI849" s="80"/>
      <c r="AJ849" s="80"/>
      <c r="AK849" s="80"/>
      <c r="AL849" s="80"/>
      <c r="AM849" s="80"/>
      <c r="AN849" s="2"/>
      <c r="AO849" s="2"/>
    </row>
    <row r="850" spans="1:41" ht="12.75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93"/>
      <c r="Q850" s="93"/>
      <c r="R850" s="93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  <c r="AC850" s="80"/>
      <c r="AD850" s="80"/>
      <c r="AE850" s="80"/>
      <c r="AF850" s="80"/>
      <c r="AG850" s="80"/>
      <c r="AH850" s="80"/>
      <c r="AI850" s="80"/>
      <c r="AJ850" s="80"/>
      <c r="AK850" s="80"/>
      <c r="AL850" s="80"/>
      <c r="AM850" s="80"/>
      <c r="AN850" s="2"/>
      <c r="AO850" s="2"/>
    </row>
    <row r="851" spans="1:41" ht="12.75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93"/>
      <c r="Q851" s="93"/>
      <c r="R851" s="93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  <c r="AD851" s="80"/>
      <c r="AE851" s="80"/>
      <c r="AF851" s="80"/>
      <c r="AG851" s="80"/>
      <c r="AH851" s="80"/>
      <c r="AI851" s="80"/>
      <c r="AJ851" s="80"/>
      <c r="AK851" s="80"/>
      <c r="AL851" s="80"/>
      <c r="AM851" s="80"/>
      <c r="AN851" s="2"/>
      <c r="AO851" s="2"/>
    </row>
    <row r="852" spans="1:41" ht="12.75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93"/>
      <c r="Q852" s="93"/>
      <c r="R852" s="93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  <c r="AD852" s="80"/>
      <c r="AE852" s="80"/>
      <c r="AF852" s="80"/>
      <c r="AG852" s="80"/>
      <c r="AH852" s="80"/>
      <c r="AI852" s="80"/>
      <c r="AJ852" s="80"/>
      <c r="AK852" s="80"/>
      <c r="AL852" s="80"/>
      <c r="AM852" s="80"/>
      <c r="AN852" s="2"/>
      <c r="AO852" s="2"/>
    </row>
    <row r="853" spans="1:41" ht="12.75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93"/>
      <c r="Q853" s="93"/>
      <c r="R853" s="93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  <c r="AC853" s="80"/>
      <c r="AD853" s="80"/>
      <c r="AE853" s="80"/>
      <c r="AF853" s="80"/>
      <c r="AG853" s="80"/>
      <c r="AH853" s="80"/>
      <c r="AI853" s="80"/>
      <c r="AJ853" s="80"/>
      <c r="AK853" s="80"/>
      <c r="AL853" s="80"/>
      <c r="AM853" s="80"/>
      <c r="AN853" s="2"/>
      <c r="AO853" s="2"/>
    </row>
    <row r="854" spans="1:41" ht="12.75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93"/>
      <c r="Q854" s="93"/>
      <c r="R854" s="93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  <c r="AC854" s="80"/>
      <c r="AD854" s="80"/>
      <c r="AE854" s="80"/>
      <c r="AF854" s="80"/>
      <c r="AG854" s="80"/>
      <c r="AH854" s="80"/>
      <c r="AI854" s="80"/>
      <c r="AJ854" s="80"/>
      <c r="AK854" s="80"/>
      <c r="AL854" s="80"/>
      <c r="AM854" s="80"/>
      <c r="AN854" s="2"/>
      <c r="AO854" s="2"/>
    </row>
    <row r="855" spans="1:41" ht="12.75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93"/>
      <c r="Q855" s="93"/>
      <c r="R855" s="93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  <c r="AD855" s="80"/>
      <c r="AE855" s="80"/>
      <c r="AF855" s="80"/>
      <c r="AG855" s="80"/>
      <c r="AH855" s="80"/>
      <c r="AI855" s="80"/>
      <c r="AJ855" s="80"/>
      <c r="AK855" s="80"/>
      <c r="AL855" s="80"/>
      <c r="AM855" s="80"/>
      <c r="AN855" s="2"/>
      <c r="AO855" s="2"/>
    </row>
    <row r="856" spans="1:41" ht="12.75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93"/>
      <c r="Q856" s="93"/>
      <c r="R856" s="93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  <c r="AC856" s="80"/>
      <c r="AD856" s="80"/>
      <c r="AE856" s="80"/>
      <c r="AF856" s="80"/>
      <c r="AG856" s="80"/>
      <c r="AH856" s="80"/>
      <c r="AI856" s="80"/>
      <c r="AJ856" s="80"/>
      <c r="AK856" s="80"/>
      <c r="AL856" s="80"/>
      <c r="AM856" s="80"/>
      <c r="AN856" s="2"/>
      <c r="AO856" s="2"/>
    </row>
    <row r="857" spans="1:41" ht="12.75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93"/>
      <c r="Q857" s="93"/>
      <c r="R857" s="93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  <c r="AC857" s="80"/>
      <c r="AD857" s="80"/>
      <c r="AE857" s="80"/>
      <c r="AF857" s="80"/>
      <c r="AG857" s="80"/>
      <c r="AH857" s="80"/>
      <c r="AI857" s="80"/>
      <c r="AJ857" s="80"/>
      <c r="AK857" s="80"/>
      <c r="AL857" s="80"/>
      <c r="AM857" s="80"/>
      <c r="AN857" s="2"/>
      <c r="AO857" s="2"/>
    </row>
    <row r="858" spans="1:41" ht="12.75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93"/>
      <c r="Q858" s="93"/>
      <c r="R858" s="93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  <c r="AC858" s="80"/>
      <c r="AD858" s="80"/>
      <c r="AE858" s="80"/>
      <c r="AF858" s="80"/>
      <c r="AG858" s="80"/>
      <c r="AH858" s="80"/>
      <c r="AI858" s="80"/>
      <c r="AJ858" s="80"/>
      <c r="AK858" s="80"/>
      <c r="AL858" s="80"/>
      <c r="AM858" s="80"/>
      <c r="AN858" s="2"/>
      <c r="AO858" s="2"/>
    </row>
    <row r="859" spans="1:41" ht="12.75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93"/>
      <c r="Q859" s="93"/>
      <c r="R859" s="93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  <c r="AD859" s="80"/>
      <c r="AE859" s="80"/>
      <c r="AF859" s="80"/>
      <c r="AG859" s="80"/>
      <c r="AH859" s="80"/>
      <c r="AI859" s="80"/>
      <c r="AJ859" s="80"/>
      <c r="AK859" s="80"/>
      <c r="AL859" s="80"/>
      <c r="AM859" s="80"/>
      <c r="AN859" s="2"/>
      <c r="AO859" s="2"/>
    </row>
    <row r="860" spans="1:41" ht="12.75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93"/>
      <c r="Q860" s="93"/>
      <c r="R860" s="93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  <c r="AC860" s="80"/>
      <c r="AD860" s="80"/>
      <c r="AE860" s="80"/>
      <c r="AF860" s="80"/>
      <c r="AG860" s="80"/>
      <c r="AH860" s="80"/>
      <c r="AI860" s="80"/>
      <c r="AJ860" s="80"/>
      <c r="AK860" s="80"/>
      <c r="AL860" s="80"/>
      <c r="AM860" s="80"/>
      <c r="AN860" s="2"/>
      <c r="AO860" s="2"/>
    </row>
    <row r="861" spans="1:41" ht="12.75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93"/>
      <c r="Q861" s="93"/>
      <c r="R861" s="93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  <c r="AD861" s="80"/>
      <c r="AE861" s="80"/>
      <c r="AF861" s="80"/>
      <c r="AG861" s="80"/>
      <c r="AH861" s="80"/>
      <c r="AI861" s="80"/>
      <c r="AJ861" s="80"/>
      <c r="AK861" s="80"/>
      <c r="AL861" s="80"/>
      <c r="AM861" s="80"/>
      <c r="AN861" s="2"/>
      <c r="AO861" s="2"/>
    </row>
    <row r="862" spans="1:41" ht="12.75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93"/>
      <c r="Q862" s="93"/>
      <c r="R862" s="93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  <c r="AC862" s="80"/>
      <c r="AD862" s="80"/>
      <c r="AE862" s="80"/>
      <c r="AF862" s="80"/>
      <c r="AG862" s="80"/>
      <c r="AH862" s="80"/>
      <c r="AI862" s="80"/>
      <c r="AJ862" s="80"/>
      <c r="AK862" s="80"/>
      <c r="AL862" s="80"/>
      <c r="AM862" s="80"/>
      <c r="AN862" s="2"/>
      <c r="AO862" s="2"/>
    </row>
    <row r="863" spans="1:41" ht="12.75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93"/>
      <c r="Q863" s="93"/>
      <c r="R863" s="93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  <c r="AD863" s="80"/>
      <c r="AE863" s="80"/>
      <c r="AF863" s="80"/>
      <c r="AG863" s="80"/>
      <c r="AH863" s="80"/>
      <c r="AI863" s="80"/>
      <c r="AJ863" s="80"/>
      <c r="AK863" s="80"/>
      <c r="AL863" s="80"/>
      <c r="AM863" s="80"/>
      <c r="AN863" s="2"/>
      <c r="AO863" s="2"/>
    </row>
    <row r="864" spans="1:41" ht="12.75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93"/>
      <c r="Q864" s="93"/>
      <c r="R864" s="93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  <c r="AC864" s="80"/>
      <c r="AD864" s="80"/>
      <c r="AE864" s="80"/>
      <c r="AF864" s="80"/>
      <c r="AG864" s="80"/>
      <c r="AH864" s="80"/>
      <c r="AI864" s="80"/>
      <c r="AJ864" s="80"/>
      <c r="AK864" s="80"/>
      <c r="AL864" s="80"/>
      <c r="AM864" s="80"/>
      <c r="AN864" s="2"/>
      <c r="AO864" s="2"/>
    </row>
    <row r="865" spans="1:41" ht="12.75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93"/>
      <c r="Q865" s="93"/>
      <c r="R865" s="93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  <c r="AC865" s="80"/>
      <c r="AD865" s="80"/>
      <c r="AE865" s="80"/>
      <c r="AF865" s="80"/>
      <c r="AG865" s="80"/>
      <c r="AH865" s="80"/>
      <c r="AI865" s="80"/>
      <c r="AJ865" s="80"/>
      <c r="AK865" s="80"/>
      <c r="AL865" s="80"/>
      <c r="AM865" s="80"/>
      <c r="AN865" s="2"/>
      <c r="AO865" s="2"/>
    </row>
    <row r="866" spans="1:41" ht="12.75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93"/>
      <c r="Q866" s="93"/>
      <c r="R866" s="93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  <c r="AD866" s="80"/>
      <c r="AE866" s="80"/>
      <c r="AF866" s="80"/>
      <c r="AG866" s="80"/>
      <c r="AH866" s="80"/>
      <c r="AI866" s="80"/>
      <c r="AJ866" s="80"/>
      <c r="AK866" s="80"/>
      <c r="AL866" s="80"/>
      <c r="AM866" s="80"/>
      <c r="AN866" s="2"/>
      <c r="AO866" s="2"/>
    </row>
    <row r="867" spans="1:41" ht="12.75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93"/>
      <c r="Q867" s="93"/>
      <c r="R867" s="93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  <c r="AC867" s="80"/>
      <c r="AD867" s="80"/>
      <c r="AE867" s="80"/>
      <c r="AF867" s="80"/>
      <c r="AG867" s="80"/>
      <c r="AH867" s="80"/>
      <c r="AI867" s="80"/>
      <c r="AJ867" s="80"/>
      <c r="AK867" s="80"/>
      <c r="AL867" s="80"/>
      <c r="AM867" s="80"/>
      <c r="AN867" s="2"/>
      <c r="AO867" s="2"/>
    </row>
    <row r="868" spans="1:41" ht="12.75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93"/>
      <c r="Q868" s="93"/>
      <c r="R868" s="93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  <c r="AD868" s="80"/>
      <c r="AE868" s="80"/>
      <c r="AF868" s="80"/>
      <c r="AG868" s="80"/>
      <c r="AH868" s="80"/>
      <c r="AI868" s="80"/>
      <c r="AJ868" s="80"/>
      <c r="AK868" s="80"/>
      <c r="AL868" s="80"/>
      <c r="AM868" s="80"/>
      <c r="AN868" s="2"/>
      <c r="AO868" s="2"/>
    </row>
    <row r="869" spans="1:41" ht="12.75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93"/>
      <c r="Q869" s="93"/>
      <c r="R869" s="93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  <c r="AC869" s="80"/>
      <c r="AD869" s="80"/>
      <c r="AE869" s="80"/>
      <c r="AF869" s="80"/>
      <c r="AG869" s="80"/>
      <c r="AH869" s="80"/>
      <c r="AI869" s="80"/>
      <c r="AJ869" s="80"/>
      <c r="AK869" s="80"/>
      <c r="AL869" s="80"/>
      <c r="AM869" s="80"/>
      <c r="AN869" s="2"/>
      <c r="AO869" s="2"/>
    </row>
    <row r="870" spans="1:41" ht="12.75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93"/>
      <c r="Q870" s="93"/>
      <c r="R870" s="93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  <c r="AD870" s="80"/>
      <c r="AE870" s="80"/>
      <c r="AF870" s="80"/>
      <c r="AG870" s="80"/>
      <c r="AH870" s="80"/>
      <c r="AI870" s="80"/>
      <c r="AJ870" s="80"/>
      <c r="AK870" s="80"/>
      <c r="AL870" s="80"/>
      <c r="AM870" s="80"/>
      <c r="AN870" s="2"/>
      <c r="AO870" s="2"/>
    </row>
    <row r="871" spans="1:41" ht="12.75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93"/>
      <c r="Q871" s="93"/>
      <c r="R871" s="93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  <c r="AC871" s="80"/>
      <c r="AD871" s="80"/>
      <c r="AE871" s="80"/>
      <c r="AF871" s="80"/>
      <c r="AG871" s="80"/>
      <c r="AH871" s="80"/>
      <c r="AI871" s="80"/>
      <c r="AJ871" s="80"/>
      <c r="AK871" s="80"/>
      <c r="AL871" s="80"/>
      <c r="AM871" s="80"/>
      <c r="AN871" s="2"/>
      <c r="AO871" s="2"/>
    </row>
    <row r="872" spans="1:41" ht="12.75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93"/>
      <c r="Q872" s="93"/>
      <c r="R872" s="93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  <c r="AD872" s="80"/>
      <c r="AE872" s="80"/>
      <c r="AF872" s="80"/>
      <c r="AG872" s="80"/>
      <c r="AH872" s="80"/>
      <c r="AI872" s="80"/>
      <c r="AJ872" s="80"/>
      <c r="AK872" s="80"/>
      <c r="AL872" s="80"/>
      <c r="AM872" s="80"/>
      <c r="AN872" s="2"/>
      <c r="AO872" s="2"/>
    </row>
    <row r="873" spans="1:41" ht="12.75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93"/>
      <c r="Q873" s="93"/>
      <c r="R873" s="93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  <c r="AD873" s="80"/>
      <c r="AE873" s="80"/>
      <c r="AF873" s="80"/>
      <c r="AG873" s="80"/>
      <c r="AH873" s="80"/>
      <c r="AI873" s="80"/>
      <c r="AJ873" s="80"/>
      <c r="AK873" s="80"/>
      <c r="AL873" s="80"/>
      <c r="AM873" s="80"/>
      <c r="AN873" s="2"/>
      <c r="AO873" s="2"/>
    </row>
    <row r="874" spans="1:41" ht="12.75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93"/>
      <c r="Q874" s="93"/>
      <c r="R874" s="93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  <c r="AD874" s="80"/>
      <c r="AE874" s="80"/>
      <c r="AF874" s="80"/>
      <c r="AG874" s="80"/>
      <c r="AH874" s="80"/>
      <c r="AI874" s="80"/>
      <c r="AJ874" s="80"/>
      <c r="AK874" s="80"/>
      <c r="AL874" s="80"/>
      <c r="AM874" s="80"/>
      <c r="AN874" s="2"/>
      <c r="AO874" s="2"/>
    </row>
    <row r="875" spans="1:41" ht="12.75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93"/>
      <c r="Q875" s="93"/>
      <c r="R875" s="93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  <c r="AD875" s="80"/>
      <c r="AE875" s="80"/>
      <c r="AF875" s="80"/>
      <c r="AG875" s="80"/>
      <c r="AH875" s="80"/>
      <c r="AI875" s="80"/>
      <c r="AJ875" s="80"/>
      <c r="AK875" s="80"/>
      <c r="AL875" s="80"/>
      <c r="AM875" s="80"/>
      <c r="AN875" s="2"/>
      <c r="AO875" s="2"/>
    </row>
    <row r="876" spans="1:41" ht="12.75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93"/>
      <c r="Q876" s="93"/>
      <c r="R876" s="93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  <c r="AD876" s="80"/>
      <c r="AE876" s="80"/>
      <c r="AF876" s="80"/>
      <c r="AG876" s="80"/>
      <c r="AH876" s="80"/>
      <c r="AI876" s="80"/>
      <c r="AJ876" s="80"/>
      <c r="AK876" s="80"/>
      <c r="AL876" s="80"/>
      <c r="AM876" s="80"/>
      <c r="AN876" s="2"/>
      <c r="AO876" s="2"/>
    </row>
    <row r="877" spans="1:41" ht="12.75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93"/>
      <c r="Q877" s="93"/>
      <c r="R877" s="93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  <c r="AD877" s="80"/>
      <c r="AE877" s="80"/>
      <c r="AF877" s="80"/>
      <c r="AG877" s="80"/>
      <c r="AH877" s="80"/>
      <c r="AI877" s="80"/>
      <c r="AJ877" s="80"/>
      <c r="AK877" s="80"/>
      <c r="AL877" s="80"/>
      <c r="AM877" s="80"/>
      <c r="AN877" s="2"/>
      <c r="AO877" s="2"/>
    </row>
    <row r="878" spans="1:41" ht="12.75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93"/>
      <c r="Q878" s="93"/>
      <c r="R878" s="93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  <c r="AD878" s="80"/>
      <c r="AE878" s="80"/>
      <c r="AF878" s="80"/>
      <c r="AG878" s="80"/>
      <c r="AH878" s="80"/>
      <c r="AI878" s="80"/>
      <c r="AJ878" s="80"/>
      <c r="AK878" s="80"/>
      <c r="AL878" s="80"/>
      <c r="AM878" s="80"/>
      <c r="AN878" s="2"/>
      <c r="AO878" s="2"/>
    </row>
    <row r="879" spans="1:41" ht="12.75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93"/>
      <c r="Q879" s="93"/>
      <c r="R879" s="93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  <c r="AD879" s="80"/>
      <c r="AE879" s="80"/>
      <c r="AF879" s="80"/>
      <c r="AG879" s="80"/>
      <c r="AH879" s="80"/>
      <c r="AI879" s="80"/>
      <c r="AJ879" s="80"/>
      <c r="AK879" s="80"/>
      <c r="AL879" s="80"/>
      <c r="AM879" s="80"/>
      <c r="AN879" s="2"/>
      <c r="AO879" s="2"/>
    </row>
    <row r="880" spans="1:41" ht="12.75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93"/>
      <c r="Q880" s="93"/>
      <c r="R880" s="93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80"/>
      <c r="AD880" s="80"/>
      <c r="AE880" s="80"/>
      <c r="AF880" s="80"/>
      <c r="AG880" s="80"/>
      <c r="AH880" s="80"/>
      <c r="AI880" s="80"/>
      <c r="AJ880" s="80"/>
      <c r="AK880" s="80"/>
      <c r="AL880" s="80"/>
      <c r="AM880" s="80"/>
      <c r="AN880" s="2"/>
      <c r="AO880" s="2"/>
    </row>
    <row r="881" spans="1:41" ht="12.75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93"/>
      <c r="Q881" s="93"/>
      <c r="R881" s="93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  <c r="AC881" s="80"/>
      <c r="AD881" s="80"/>
      <c r="AE881" s="80"/>
      <c r="AF881" s="80"/>
      <c r="AG881" s="80"/>
      <c r="AH881" s="80"/>
      <c r="AI881" s="80"/>
      <c r="AJ881" s="80"/>
      <c r="AK881" s="80"/>
      <c r="AL881" s="80"/>
      <c r="AM881" s="80"/>
      <c r="AN881" s="2"/>
      <c r="AO881" s="2"/>
    </row>
    <row r="882" spans="1:41" ht="12.75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93"/>
      <c r="Q882" s="93"/>
      <c r="R882" s="93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  <c r="AC882" s="80"/>
      <c r="AD882" s="80"/>
      <c r="AE882" s="80"/>
      <c r="AF882" s="80"/>
      <c r="AG882" s="80"/>
      <c r="AH882" s="80"/>
      <c r="AI882" s="80"/>
      <c r="AJ882" s="80"/>
      <c r="AK882" s="80"/>
      <c r="AL882" s="80"/>
      <c r="AM882" s="80"/>
      <c r="AN882" s="2"/>
      <c r="AO882" s="2"/>
    </row>
    <row r="883" spans="1:41" ht="12.75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93"/>
      <c r="Q883" s="93"/>
      <c r="R883" s="93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2"/>
      <c r="AO883" s="2"/>
    </row>
    <row r="884" spans="1:41" ht="12.75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93"/>
      <c r="Q884" s="93"/>
      <c r="R884" s="93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  <c r="AC884" s="80"/>
      <c r="AD884" s="80"/>
      <c r="AE884" s="80"/>
      <c r="AF884" s="80"/>
      <c r="AG884" s="80"/>
      <c r="AH884" s="80"/>
      <c r="AI884" s="80"/>
      <c r="AJ884" s="80"/>
      <c r="AK884" s="80"/>
      <c r="AL884" s="80"/>
      <c r="AM884" s="80"/>
      <c r="AN884" s="2"/>
      <c r="AO884" s="2"/>
    </row>
    <row r="885" spans="1:41" ht="12.75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93"/>
      <c r="Q885" s="93"/>
      <c r="R885" s="93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  <c r="AC885" s="80"/>
      <c r="AD885" s="80"/>
      <c r="AE885" s="80"/>
      <c r="AF885" s="80"/>
      <c r="AG885" s="80"/>
      <c r="AH885" s="80"/>
      <c r="AI885" s="80"/>
      <c r="AJ885" s="80"/>
      <c r="AK885" s="80"/>
      <c r="AL885" s="80"/>
      <c r="AM885" s="80"/>
      <c r="AN885" s="2"/>
      <c r="AO885" s="2"/>
    </row>
    <row r="886" spans="1:41" ht="12.75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93"/>
      <c r="Q886" s="93"/>
      <c r="R886" s="93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  <c r="AC886" s="80"/>
      <c r="AD886" s="80"/>
      <c r="AE886" s="80"/>
      <c r="AF886" s="80"/>
      <c r="AG886" s="80"/>
      <c r="AH886" s="80"/>
      <c r="AI886" s="80"/>
      <c r="AJ886" s="80"/>
      <c r="AK886" s="80"/>
      <c r="AL886" s="80"/>
      <c r="AM886" s="80"/>
      <c r="AN886" s="2"/>
      <c r="AO886" s="2"/>
    </row>
    <row r="887" spans="1:41" ht="12.75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93"/>
      <c r="Q887" s="93"/>
      <c r="R887" s="93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  <c r="AC887" s="80"/>
      <c r="AD887" s="80"/>
      <c r="AE887" s="80"/>
      <c r="AF887" s="80"/>
      <c r="AG887" s="80"/>
      <c r="AH887" s="80"/>
      <c r="AI887" s="80"/>
      <c r="AJ887" s="80"/>
      <c r="AK887" s="80"/>
      <c r="AL887" s="80"/>
      <c r="AM887" s="80"/>
      <c r="AN887" s="2"/>
      <c r="AO887" s="2"/>
    </row>
    <row r="888" spans="1:41" ht="12.75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93"/>
      <c r="Q888" s="93"/>
      <c r="R888" s="93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  <c r="AC888" s="80"/>
      <c r="AD888" s="80"/>
      <c r="AE888" s="80"/>
      <c r="AF888" s="80"/>
      <c r="AG888" s="80"/>
      <c r="AH888" s="80"/>
      <c r="AI888" s="80"/>
      <c r="AJ888" s="80"/>
      <c r="AK888" s="80"/>
      <c r="AL888" s="80"/>
      <c r="AM888" s="80"/>
      <c r="AN888" s="2"/>
      <c r="AO888" s="2"/>
    </row>
    <row r="889" spans="1:41" ht="12.75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93"/>
      <c r="Q889" s="93"/>
      <c r="R889" s="93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  <c r="AC889" s="80"/>
      <c r="AD889" s="80"/>
      <c r="AE889" s="80"/>
      <c r="AF889" s="80"/>
      <c r="AG889" s="80"/>
      <c r="AH889" s="80"/>
      <c r="AI889" s="80"/>
      <c r="AJ889" s="80"/>
      <c r="AK889" s="80"/>
      <c r="AL889" s="80"/>
      <c r="AM889" s="80"/>
      <c r="AN889" s="2"/>
      <c r="AO889" s="2"/>
    </row>
    <row r="890" spans="1:41" ht="12.75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93"/>
      <c r="Q890" s="93"/>
      <c r="R890" s="93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  <c r="AC890" s="80"/>
      <c r="AD890" s="80"/>
      <c r="AE890" s="80"/>
      <c r="AF890" s="80"/>
      <c r="AG890" s="80"/>
      <c r="AH890" s="80"/>
      <c r="AI890" s="80"/>
      <c r="AJ890" s="80"/>
      <c r="AK890" s="80"/>
      <c r="AL890" s="80"/>
      <c r="AM890" s="80"/>
      <c r="AN890" s="2"/>
      <c r="AO890" s="2"/>
    </row>
    <row r="891" spans="1:41" ht="12.75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93"/>
      <c r="Q891" s="93"/>
      <c r="R891" s="93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  <c r="AC891" s="80"/>
      <c r="AD891" s="80"/>
      <c r="AE891" s="80"/>
      <c r="AF891" s="80"/>
      <c r="AG891" s="80"/>
      <c r="AH891" s="80"/>
      <c r="AI891" s="80"/>
      <c r="AJ891" s="80"/>
      <c r="AK891" s="80"/>
      <c r="AL891" s="80"/>
      <c r="AM891" s="80"/>
      <c r="AN891" s="2"/>
      <c r="AO891" s="2"/>
    </row>
    <row r="892" spans="1:41" ht="12.75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93"/>
      <c r="Q892" s="93"/>
      <c r="R892" s="93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80"/>
      <c r="AD892" s="80"/>
      <c r="AE892" s="80"/>
      <c r="AF892" s="80"/>
      <c r="AG892" s="80"/>
      <c r="AH892" s="80"/>
      <c r="AI892" s="80"/>
      <c r="AJ892" s="80"/>
      <c r="AK892" s="80"/>
      <c r="AL892" s="80"/>
      <c r="AM892" s="80"/>
      <c r="AN892" s="2"/>
      <c r="AO892" s="2"/>
    </row>
    <row r="893" spans="1:41" ht="12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94"/>
      <c r="Q893" s="94"/>
      <c r="R893" s="94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</row>
    <row r="894" spans="1:41" ht="12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94"/>
      <c r="Q894" s="94"/>
      <c r="R894" s="94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</row>
    <row r="895" spans="1:41" ht="12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94"/>
      <c r="Q895" s="94"/>
      <c r="R895" s="94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</row>
    <row r="896" spans="1:41" ht="12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94"/>
      <c r="Q896" s="94"/>
      <c r="R896" s="94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</row>
    <row r="897" spans="1:41" ht="12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94"/>
      <c r="Q897" s="94"/>
      <c r="R897" s="94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</row>
    <row r="898" spans="1:41" ht="12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94"/>
      <c r="Q898" s="94"/>
      <c r="R898" s="94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</row>
    <row r="899" spans="1:41" ht="12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94"/>
      <c r="Q899" s="94"/>
      <c r="R899" s="94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</row>
    <row r="900" spans="1:41" ht="12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94"/>
      <c r="Q900" s="94"/>
      <c r="R900" s="94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</row>
    <row r="901" spans="1:41" ht="12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94"/>
      <c r="Q901" s="94"/>
      <c r="R901" s="94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</row>
    <row r="902" spans="1:41" ht="12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94"/>
      <c r="Q902" s="94"/>
      <c r="R902" s="94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</row>
    <row r="903" spans="1:41" ht="12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94"/>
      <c r="Q903" s="94"/>
      <c r="R903" s="94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</row>
    <row r="904" spans="1:41" ht="12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94"/>
      <c r="Q904" s="94"/>
      <c r="R904" s="94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</row>
    <row r="905" spans="1:41" ht="12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94"/>
      <c r="Q905" s="94"/>
      <c r="R905" s="94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</row>
    <row r="906" spans="1:41" ht="12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94"/>
      <c r="Q906" s="94"/>
      <c r="R906" s="94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</row>
    <row r="907" spans="1:41" ht="12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94"/>
      <c r="Q907" s="94"/>
      <c r="R907" s="94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</row>
    <row r="908" spans="1:41" ht="12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94"/>
      <c r="Q908" s="94"/>
      <c r="R908" s="94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</row>
    <row r="909" spans="1:41" ht="12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94"/>
      <c r="Q909" s="94"/>
      <c r="R909" s="94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</row>
    <row r="910" spans="1:41" ht="12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94"/>
      <c r="Q910" s="94"/>
      <c r="R910" s="94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</row>
    <row r="911" spans="1:41" ht="12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94"/>
      <c r="Q911" s="94"/>
      <c r="R911" s="94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</row>
    <row r="912" spans="1:41" ht="12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94"/>
      <c r="Q912" s="94"/>
      <c r="R912" s="94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</row>
    <row r="913" spans="1:41" ht="12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94"/>
      <c r="Q913" s="94"/>
      <c r="R913" s="94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</row>
    <row r="914" spans="1:41" ht="12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94"/>
      <c r="Q914" s="94"/>
      <c r="R914" s="94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</row>
    <row r="915" spans="1:41" ht="12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94"/>
      <c r="Q915" s="94"/>
      <c r="R915" s="94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</row>
    <row r="916" spans="1:41" ht="12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94"/>
      <c r="Q916" s="94"/>
      <c r="R916" s="94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</row>
    <row r="917" spans="1:41" ht="12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94"/>
      <c r="Q917" s="94"/>
      <c r="R917" s="94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</row>
    <row r="918" spans="1:41" ht="12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94"/>
      <c r="Q918" s="94"/>
      <c r="R918" s="94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</row>
    <row r="919" spans="1:41" ht="12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94"/>
      <c r="Q919" s="94"/>
      <c r="R919" s="94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</row>
    <row r="920" spans="1:41" ht="12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94"/>
      <c r="Q920" s="94"/>
      <c r="R920" s="94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</row>
    <row r="921" spans="1:41" ht="12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94"/>
      <c r="Q921" s="94"/>
      <c r="R921" s="94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</row>
    <row r="922" spans="1:41" ht="12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94"/>
      <c r="Q922" s="94"/>
      <c r="R922" s="94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</row>
    <row r="923" spans="1:41" ht="12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94"/>
      <c r="Q923" s="94"/>
      <c r="R923" s="94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</row>
    <row r="924" spans="1:41" ht="12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94"/>
      <c r="Q924" s="94"/>
      <c r="R924" s="94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</row>
    <row r="925" spans="1:41" ht="12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94"/>
      <c r="Q925" s="94"/>
      <c r="R925" s="94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</row>
    <row r="926" spans="1:41" ht="12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94"/>
      <c r="Q926" s="94"/>
      <c r="R926" s="94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</row>
    <row r="927" spans="1:41" ht="12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94"/>
      <c r="Q927" s="94"/>
      <c r="R927" s="94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</row>
    <row r="928" spans="1:41" ht="12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94"/>
      <c r="Q928" s="94"/>
      <c r="R928" s="94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</row>
    <row r="929" spans="1:41" ht="12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94"/>
      <c r="Q929" s="94"/>
      <c r="R929" s="94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</row>
    <row r="930" spans="1:41" ht="12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94"/>
      <c r="Q930" s="94"/>
      <c r="R930" s="94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</row>
    <row r="931" spans="1:41" ht="12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94"/>
      <c r="Q931" s="94"/>
      <c r="R931" s="94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</row>
    <row r="932" spans="1:41" ht="12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94"/>
      <c r="Q932" s="94"/>
      <c r="R932" s="94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</row>
    <row r="933" spans="1:41" ht="12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94"/>
      <c r="Q933" s="94"/>
      <c r="R933" s="94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</row>
    <row r="934" spans="1:41" ht="12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94"/>
      <c r="Q934" s="94"/>
      <c r="R934" s="94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</row>
    <row r="935" spans="1:41" ht="12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94"/>
      <c r="Q935" s="94"/>
      <c r="R935" s="94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</row>
    <row r="936" spans="1:41" ht="12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94"/>
      <c r="Q936" s="94"/>
      <c r="R936" s="94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</row>
    <row r="937" spans="1:41" ht="12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94"/>
      <c r="Q937" s="94"/>
      <c r="R937" s="94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</row>
    <row r="938" spans="1:41" ht="12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94"/>
      <c r="Q938" s="94"/>
      <c r="R938" s="94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</row>
    <row r="939" spans="1:41" ht="12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94"/>
      <c r="Q939" s="94"/>
      <c r="R939" s="94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</row>
    <row r="940" spans="1:41" ht="12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94"/>
      <c r="Q940" s="94"/>
      <c r="R940" s="94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</row>
    <row r="941" spans="1:41" ht="12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94"/>
      <c r="Q941" s="94"/>
      <c r="R941" s="94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</row>
    <row r="942" spans="1:41" ht="12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94"/>
      <c r="Q942" s="94"/>
      <c r="R942" s="94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</row>
    <row r="943" spans="1:41" ht="12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94"/>
      <c r="Q943" s="94"/>
      <c r="R943" s="94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</row>
    <row r="944" spans="1:41" ht="12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94"/>
      <c r="Q944" s="94"/>
      <c r="R944" s="94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</row>
    <row r="945" spans="1:41" ht="12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94"/>
      <c r="Q945" s="94"/>
      <c r="R945" s="94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</row>
    <row r="946" spans="1:41" ht="12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94"/>
      <c r="Q946" s="94"/>
      <c r="R946" s="94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</row>
    <row r="947" spans="1:41" ht="12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94"/>
      <c r="Q947" s="94"/>
      <c r="R947" s="94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</row>
    <row r="948" spans="1:41" ht="12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94"/>
      <c r="Q948" s="94"/>
      <c r="R948" s="94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</row>
    <row r="949" spans="1:41" ht="12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94"/>
      <c r="Q949" s="94"/>
      <c r="R949" s="94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</row>
    <row r="950" spans="1:41" ht="12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94"/>
      <c r="Q950" s="94"/>
      <c r="R950" s="94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</row>
    <row r="951" spans="1:41" ht="12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94"/>
      <c r="Q951" s="94"/>
      <c r="R951" s="94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</row>
    <row r="952" spans="1:41" ht="12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94"/>
      <c r="Q952" s="94"/>
      <c r="R952" s="94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</row>
    <row r="953" spans="1:41" ht="12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94"/>
      <c r="Q953" s="94"/>
      <c r="R953" s="94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</row>
    <row r="954" spans="1:41" ht="12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94"/>
      <c r="Q954" s="94"/>
      <c r="R954" s="94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</row>
    <row r="955" spans="1:41" ht="12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94"/>
      <c r="Q955" s="94"/>
      <c r="R955" s="94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</row>
    <row r="956" spans="1:41" ht="12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94"/>
      <c r="Q956" s="94"/>
      <c r="R956" s="94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</row>
    <row r="957" spans="1:41" ht="12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94"/>
      <c r="Q957" s="94"/>
      <c r="R957" s="94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</row>
    <row r="958" spans="1:41" ht="12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94"/>
      <c r="Q958" s="94"/>
      <c r="R958" s="94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</row>
    <row r="959" spans="1:41" ht="12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94"/>
      <c r="Q959" s="94"/>
      <c r="R959" s="94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</row>
    <row r="960" spans="1:41" ht="12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94"/>
      <c r="Q960" s="94"/>
      <c r="R960" s="94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</row>
    <row r="961" spans="1:41" ht="12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94"/>
      <c r="Q961" s="94"/>
      <c r="R961" s="94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</row>
    <row r="962" spans="1:41" ht="12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94"/>
      <c r="Q962" s="94"/>
      <c r="R962" s="94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</row>
    <row r="963" spans="1:41" ht="12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94"/>
      <c r="Q963" s="94"/>
      <c r="R963" s="94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</row>
    <row r="964" spans="1:41" ht="12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94"/>
      <c r="Q964" s="94"/>
      <c r="R964" s="94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</row>
    <row r="965" spans="1:41" ht="12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94"/>
      <c r="Q965" s="94"/>
      <c r="R965" s="94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</row>
    <row r="966" spans="1:41" ht="12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94"/>
      <c r="Q966" s="94"/>
      <c r="R966" s="94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</row>
    <row r="967" spans="1:41" ht="12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94"/>
      <c r="Q967" s="94"/>
      <c r="R967" s="94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</row>
    <row r="968" spans="1:41" ht="12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94"/>
      <c r="Q968" s="94"/>
      <c r="R968" s="94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</row>
    <row r="969" spans="1:41" ht="12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94"/>
      <c r="Q969" s="94"/>
      <c r="R969" s="94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</row>
    <row r="970" spans="1:41" ht="12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94"/>
      <c r="Q970" s="94"/>
      <c r="R970" s="94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</row>
    <row r="971" spans="1:41" ht="12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94"/>
      <c r="Q971" s="94"/>
      <c r="R971" s="94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</row>
    <row r="972" spans="1:41" ht="12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94"/>
      <c r="Q972" s="94"/>
      <c r="R972" s="94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</row>
    <row r="973" spans="1:41" ht="12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94"/>
      <c r="Q973" s="94"/>
      <c r="R973" s="94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</row>
    <row r="974" spans="1:41" ht="12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94"/>
      <c r="Q974" s="94"/>
      <c r="R974" s="94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</row>
    <row r="975" spans="1:41" ht="12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94"/>
      <c r="Q975" s="94"/>
      <c r="R975" s="94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</row>
    <row r="976" spans="1:41" ht="12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94"/>
      <c r="Q976" s="94"/>
      <c r="R976" s="94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</row>
    <row r="977" spans="1:41" ht="12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94"/>
      <c r="Q977" s="94"/>
      <c r="R977" s="94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</row>
    <row r="978" spans="1:41" ht="12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94"/>
      <c r="Q978" s="94"/>
      <c r="R978" s="94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</row>
    <row r="979" spans="1:41" ht="12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94"/>
      <c r="Q979" s="94"/>
      <c r="R979" s="94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</row>
    <row r="980" spans="1:41" ht="12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94"/>
      <c r="Q980" s="94"/>
      <c r="R980" s="94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</row>
    <row r="981" spans="1:41" ht="12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94"/>
      <c r="Q981" s="94"/>
      <c r="R981" s="94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</row>
    <row r="982" spans="1:41" ht="12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94"/>
      <c r="Q982" s="94"/>
      <c r="R982" s="94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</row>
    <row r="983" spans="1:41" ht="12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94"/>
      <c r="Q983" s="94"/>
      <c r="R983" s="94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</row>
    <row r="984" spans="1:41" ht="12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94"/>
      <c r="Q984" s="94"/>
      <c r="R984" s="94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</row>
    <row r="985" spans="1:41" ht="12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94"/>
      <c r="Q985" s="94"/>
      <c r="R985" s="94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</row>
    <row r="986" spans="1:41" ht="12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94"/>
      <c r="Q986" s="94"/>
      <c r="R986" s="94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</row>
    <row r="987" spans="1:41" ht="12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94"/>
      <c r="Q987" s="94"/>
      <c r="R987" s="94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</row>
    <row r="988" spans="1:41" ht="12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94"/>
      <c r="Q988" s="94"/>
      <c r="R988" s="94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</row>
    <row r="989" spans="1:41" ht="12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94"/>
      <c r="Q989" s="94"/>
      <c r="R989" s="94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</row>
    <row r="990" spans="1:41" ht="12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94"/>
      <c r="Q990" s="94"/>
      <c r="R990" s="94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</row>
    <row r="991" spans="1:41" ht="12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94"/>
      <c r="Q991" s="94"/>
      <c r="R991" s="94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</row>
    <row r="992" spans="1:41" ht="12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94"/>
      <c r="Q992" s="94"/>
      <c r="R992" s="94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</row>
  </sheetData>
  <autoFilter ref="A1:AI895" xr:uid="{00000000-0009-0000-0000-000005000000}"/>
  <mergeCells count="116">
    <mergeCell ref="S90:Y90"/>
    <mergeCell ref="S87:X87"/>
    <mergeCell ref="S88:Y88"/>
    <mergeCell ref="H89:I89"/>
    <mergeCell ref="S89:Y89"/>
    <mergeCell ref="S68:Z68"/>
    <mergeCell ref="S98:Z98"/>
    <mergeCell ref="S99:Z99"/>
    <mergeCell ref="E97:F97"/>
    <mergeCell ref="S97:Z97"/>
    <mergeCell ref="H73:I73"/>
    <mergeCell ref="H74:I74"/>
    <mergeCell ref="H76:I76"/>
    <mergeCell ref="S70:Y70"/>
    <mergeCell ref="S72:Z72"/>
    <mergeCell ref="S74:Z74"/>
    <mergeCell ref="S71:X71"/>
    <mergeCell ref="S83:Y83"/>
    <mergeCell ref="S86:X86"/>
    <mergeCell ref="S80:Y80"/>
    <mergeCell ref="S81:W81"/>
    <mergeCell ref="S82:AA82"/>
    <mergeCell ref="S84:X84"/>
    <mergeCell ref="S85:X85"/>
    <mergeCell ref="S73:Y73"/>
    <mergeCell ref="S75:Y75"/>
    <mergeCell ref="S76:Y76"/>
    <mergeCell ref="S77:Z77"/>
    <mergeCell ref="S78:Z78"/>
    <mergeCell ref="S79:X79"/>
    <mergeCell ref="S54:Y54"/>
    <mergeCell ref="S55:Z55"/>
    <mergeCell ref="S56:X56"/>
    <mergeCell ref="S57:X57"/>
    <mergeCell ref="S64:Y64"/>
    <mergeCell ref="S69:Z69"/>
    <mergeCell ref="S58:X58"/>
    <mergeCell ref="S59:Y59"/>
    <mergeCell ref="S60:X60"/>
    <mergeCell ref="S61:Y61"/>
    <mergeCell ref="S62:Z62"/>
    <mergeCell ref="S63:Y63"/>
    <mergeCell ref="S65:Z65"/>
    <mergeCell ref="S66:Z66"/>
    <mergeCell ref="S67:Z67"/>
    <mergeCell ref="S40:X40"/>
    <mergeCell ref="S41:Z41"/>
    <mergeCell ref="S42:AA42"/>
    <mergeCell ref="S43:Z43"/>
    <mergeCell ref="S44:Y44"/>
    <mergeCell ref="S45:Z45"/>
    <mergeCell ref="S46:X46"/>
    <mergeCell ref="S47:Y47"/>
    <mergeCell ref="S53:Z53"/>
    <mergeCell ref="S48:Z48"/>
    <mergeCell ref="S49:AA49"/>
    <mergeCell ref="S50:Y50"/>
    <mergeCell ref="S51:Z51"/>
    <mergeCell ref="S52:Z52"/>
    <mergeCell ref="S32:Y32"/>
    <mergeCell ref="S33:Z33"/>
    <mergeCell ref="S34:Y34"/>
    <mergeCell ref="H33:I33"/>
    <mergeCell ref="S35:Y35"/>
    <mergeCell ref="S36:X36"/>
    <mergeCell ref="S37:Z37"/>
    <mergeCell ref="S38:AA38"/>
    <mergeCell ref="S39:X39"/>
    <mergeCell ref="S29:Z29"/>
    <mergeCell ref="S31:Z31"/>
    <mergeCell ref="S22:Z22"/>
    <mergeCell ref="S23:Y23"/>
    <mergeCell ref="S25:Y25"/>
    <mergeCell ref="S26:Y26"/>
    <mergeCell ref="S19:Y19"/>
    <mergeCell ref="S20:Z20"/>
    <mergeCell ref="S24:Y24"/>
    <mergeCell ref="S27:Z27"/>
    <mergeCell ref="S28:Z28"/>
    <mergeCell ref="S30:Y30"/>
    <mergeCell ref="S1:T1"/>
    <mergeCell ref="S4:X4"/>
    <mergeCell ref="S5:Y5"/>
    <mergeCell ref="S6:Y6"/>
    <mergeCell ref="S8:Y8"/>
    <mergeCell ref="S11:Y11"/>
    <mergeCell ref="S17:Z17"/>
    <mergeCell ref="S21:Y21"/>
    <mergeCell ref="S12:Z12"/>
    <mergeCell ref="S13:Z13"/>
    <mergeCell ref="S15:Z15"/>
    <mergeCell ref="H2:I2"/>
    <mergeCell ref="S2:X2"/>
    <mergeCell ref="S3:Y3"/>
    <mergeCell ref="S7:Z7"/>
    <mergeCell ref="S9:Z9"/>
    <mergeCell ref="S10:Y10"/>
    <mergeCell ref="S14:Y14"/>
    <mergeCell ref="S16:AA16"/>
    <mergeCell ref="S18:X18"/>
    <mergeCell ref="B116:S116"/>
    <mergeCell ref="B124:S124"/>
    <mergeCell ref="B130:S130"/>
    <mergeCell ref="B139:O139"/>
    <mergeCell ref="E91:F91"/>
    <mergeCell ref="S91:Z91"/>
    <mergeCell ref="E92:F92"/>
    <mergeCell ref="S92:Z92"/>
    <mergeCell ref="E93:F93"/>
    <mergeCell ref="S93:Z93"/>
    <mergeCell ref="S94:AA94"/>
    <mergeCell ref="E95:F95"/>
    <mergeCell ref="E96:F96"/>
    <mergeCell ref="S96:Z96"/>
    <mergeCell ref="S95:Y95"/>
    <mergeCell ref="S100:Z100"/>
  </mergeCells>
  <phoneticPr fontId="21" type="noConversion"/>
  <hyperlinks>
    <hyperlink ref="P24" r:id="rId1" xr:uid="{B6C40EEF-CC63-449F-9790-339F32C1A0CF}"/>
    <hyperlink ref="P23" r:id="rId2" xr:uid="{CD9B7A60-3D3C-41DF-879E-DB9BD2448BC2}"/>
    <hyperlink ref="P21" r:id="rId3" xr:uid="{5EC56495-8302-4E76-A9E9-8A30A088718B}"/>
    <hyperlink ref="P22" r:id="rId4" xr:uid="{D3540979-4619-421D-8789-A3624DCE8E2E}"/>
    <hyperlink ref="P20" r:id="rId5" xr:uid="{84CE96DC-0981-4695-83F3-74016EF8D950}"/>
    <hyperlink ref="P19" r:id="rId6" xr:uid="{4232D5D7-3AA2-4369-9178-9C455B6690EB}"/>
    <hyperlink ref="P18" r:id="rId7" xr:uid="{3A1F1C0C-5816-45F7-8D9C-7CC36BE1E30A}"/>
    <hyperlink ref="P16" r:id="rId8" xr:uid="{EC0B24BA-12A8-4FEC-AA89-0ED93795AD15}"/>
    <hyperlink ref="P17" r:id="rId9" xr:uid="{86F75A70-C55D-4ED4-8FC4-200B79D70363}"/>
    <hyperlink ref="P15" r:id="rId10" xr:uid="{794BE5DE-C7A3-4CE8-A081-E632C07AA5A4}"/>
    <hyperlink ref="P14" r:id="rId11" xr:uid="{6E8AEF36-DB08-4D5E-A483-0D845EDB3ADD}"/>
    <hyperlink ref="P13" r:id="rId12" xr:uid="{B9685487-F208-433F-90E6-57BA5392342E}"/>
    <hyperlink ref="P11" r:id="rId13" xr:uid="{5B9F2E10-10FD-4B5F-BA25-4A2757C440DD}"/>
    <hyperlink ref="P9" r:id="rId14" xr:uid="{0349F8A7-EA3A-438B-92E8-777587E7FC39}"/>
    <hyperlink ref="P94" r:id="rId15" xr:uid="{63F520E8-EC89-4F71-94D8-DF8CE7A7DEDB}"/>
    <hyperlink ref="P5" r:id="rId16" xr:uid="{889A4A36-B681-4E0F-83B4-528FBA0AEC90}"/>
    <hyperlink ref="P100" r:id="rId17" xr:uid="{0B84F121-CFB0-4CFF-A5CB-B2654B509A64}"/>
    <hyperlink ref="P99" r:id="rId18" xr:uid="{B8D3DFC0-679E-48DC-A1A9-7442C2ABF824}"/>
    <hyperlink ref="P98" r:id="rId19" xr:uid="{015DD1B9-7193-4F9D-AE11-D65D89324315}"/>
    <hyperlink ref="P97" r:id="rId20" xr:uid="{CEAA336B-40E6-4844-88F2-A2BF4D659F11}"/>
    <hyperlink ref="P96" r:id="rId21" xr:uid="{415E8CA3-D728-437A-B846-0BC2C9453EC6}"/>
    <hyperlink ref="P95" r:id="rId22" xr:uid="{11C3686C-2BAB-417C-AB4F-10801217F5C3}"/>
    <hyperlink ref="P93" r:id="rId23" xr:uid="{ECB8CB01-E995-431D-9484-1D07BFB24BC0}"/>
    <hyperlink ref="P92" r:id="rId24" xr:uid="{DBCF41F2-4A5F-450E-893F-C67B441E15BF}"/>
    <hyperlink ref="P91" r:id="rId25" xr:uid="{91C787E2-F830-4F4F-9DAC-28D7035460DF}"/>
    <hyperlink ref="P81" r:id="rId26" xr:uid="{9C1EB3A8-176D-4D22-AF1E-419B319C04F6}"/>
    <hyperlink ref="P83" r:id="rId27" xr:uid="{3B0F7863-C727-49CC-AB2F-A61C699487D7}"/>
    <hyperlink ref="P85" r:id="rId28" xr:uid="{7263C558-5469-4B41-B434-534DFA7140D8}"/>
    <hyperlink ref="P89" r:id="rId29" xr:uid="{206C2A36-2462-4533-AB82-CD654C997620}"/>
    <hyperlink ref="P88" r:id="rId30" xr:uid="{B9A92C25-EB1C-41B0-A862-B0C74B590B3A}"/>
    <hyperlink ref="P90" r:id="rId31" xr:uid="{B9424150-3538-47F8-9D62-9F22D01B115E}"/>
    <hyperlink ref="P69" r:id="rId32" xr:uid="{36606CE2-9578-4738-8403-9F5473CD7AE0}"/>
    <hyperlink ref="P42" r:id="rId33" xr:uid="{BAB7D87E-68BD-49AD-A178-F74FC979F461}"/>
    <hyperlink ref="P46" r:id="rId34" xr:uid="{479FC45D-EEF1-4073-BC26-BC9EC74EBD37}"/>
    <hyperlink ref="P48" r:id="rId35" xr:uid="{8F8B643A-2A5D-44A8-B936-DD78F73D86C4}"/>
    <hyperlink ref="P68" r:id="rId36" xr:uid="{045BDD61-8A2B-4545-B223-EF542576C00F}"/>
  </hyperlinks>
  <pageMargins left="0.7" right="0.7" top="0.75" bottom="0.75" header="0.3" footer="0.3"/>
  <pageSetup orientation="portrait" r:id="rId3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A665D-8EEF-4B85-83F9-8D4EC04CECC1}">
  <dimension ref="A1:F41"/>
  <sheetViews>
    <sheetView zoomScale="115" zoomScaleNormal="115" workbookViewId="0">
      <selection activeCell="I11" sqref="I11"/>
    </sheetView>
  </sheetViews>
  <sheetFormatPr defaultRowHeight="12.75"/>
  <cols>
    <col min="1" max="1" width="38.06640625" customWidth="1"/>
    <col min="2" max="2" width="20.1328125" customWidth="1"/>
    <col min="4" max="4" width="14.46484375" customWidth="1"/>
    <col min="5" max="5" width="12.59765625" customWidth="1"/>
  </cols>
  <sheetData>
    <row r="1" spans="1:6" s="45" customFormat="1" ht="13.15">
      <c r="A1" s="46" t="s">
        <v>397</v>
      </c>
      <c r="B1" s="45" t="s">
        <v>576</v>
      </c>
      <c r="C1" s="45" t="s">
        <v>577</v>
      </c>
      <c r="D1" s="45" t="s">
        <v>582</v>
      </c>
      <c r="E1" s="45" t="s">
        <v>583</v>
      </c>
      <c r="F1" s="45" t="s">
        <v>593</v>
      </c>
    </row>
    <row r="2" spans="1:6">
      <c r="A2" s="43" t="s">
        <v>37</v>
      </c>
      <c r="B2" s="43" t="s">
        <v>578</v>
      </c>
      <c r="C2" s="47">
        <v>2</v>
      </c>
      <c r="D2" t="s">
        <v>584</v>
      </c>
      <c r="E2" t="s">
        <v>585</v>
      </c>
    </row>
    <row r="3" spans="1:6">
      <c r="A3" s="43" t="s">
        <v>38</v>
      </c>
      <c r="B3" s="43" t="s">
        <v>578</v>
      </c>
      <c r="C3" s="47">
        <v>3</v>
      </c>
      <c r="D3" t="s">
        <v>584</v>
      </c>
      <c r="E3" t="s">
        <v>585</v>
      </c>
    </row>
    <row r="4" spans="1:6">
      <c r="A4" s="43" t="s">
        <v>39</v>
      </c>
      <c r="B4" s="43" t="s">
        <v>579</v>
      </c>
      <c r="C4" s="47">
        <v>2</v>
      </c>
      <c r="D4" t="s">
        <v>590</v>
      </c>
      <c r="E4" t="s">
        <v>587</v>
      </c>
    </row>
    <row r="5" spans="1:6" s="60" customFormat="1">
      <c r="A5" s="50" t="s">
        <v>40</v>
      </c>
      <c r="B5" s="50" t="s">
        <v>578</v>
      </c>
      <c r="C5" s="59">
        <v>2</v>
      </c>
      <c r="D5" s="60" t="s">
        <v>588</v>
      </c>
      <c r="E5" s="60" t="s">
        <v>585</v>
      </c>
    </row>
    <row r="6" spans="1:6">
      <c r="A6" s="44" t="s">
        <v>41</v>
      </c>
      <c r="B6" s="44" t="s">
        <v>580</v>
      </c>
      <c r="C6" s="48">
        <v>1.5</v>
      </c>
      <c r="D6" t="s">
        <v>590</v>
      </c>
      <c r="E6" t="s">
        <v>585</v>
      </c>
    </row>
    <row r="7" spans="1:6">
      <c r="A7" s="43" t="s">
        <v>42</v>
      </c>
      <c r="B7" s="43" t="s">
        <v>578</v>
      </c>
      <c r="C7" s="47">
        <v>1</v>
      </c>
      <c r="D7" t="s">
        <v>590</v>
      </c>
      <c r="E7" t="s">
        <v>585</v>
      </c>
    </row>
    <row r="8" spans="1:6">
      <c r="A8" s="43" t="s">
        <v>43</v>
      </c>
      <c r="B8" s="43" t="s">
        <v>578</v>
      </c>
      <c r="C8" s="47">
        <v>2</v>
      </c>
      <c r="D8" t="s">
        <v>591</v>
      </c>
      <c r="E8" t="s">
        <v>585</v>
      </c>
    </row>
    <row r="9" spans="1:6">
      <c r="A9" s="43" t="s">
        <v>44</v>
      </c>
      <c r="B9" s="43" t="s">
        <v>580</v>
      </c>
      <c r="C9" s="47">
        <v>1</v>
      </c>
      <c r="D9" t="s">
        <v>590</v>
      </c>
      <c r="E9" t="s">
        <v>585</v>
      </c>
    </row>
    <row r="10" spans="1:6">
      <c r="A10" s="43" t="s">
        <v>566</v>
      </c>
      <c r="B10" s="43" t="s">
        <v>578</v>
      </c>
      <c r="C10" s="47">
        <v>1.5</v>
      </c>
      <c r="D10" t="s">
        <v>590</v>
      </c>
      <c r="E10" t="s">
        <v>592</v>
      </c>
    </row>
    <row r="11" spans="1:6">
      <c r="A11" s="43" t="s">
        <v>45</v>
      </c>
      <c r="B11" s="43" t="s">
        <v>579</v>
      </c>
      <c r="C11" s="47">
        <v>2</v>
      </c>
      <c r="D11" t="s">
        <v>590</v>
      </c>
      <c r="E11" t="s">
        <v>587</v>
      </c>
    </row>
    <row r="12" spans="1:6">
      <c r="A12" s="43" t="s">
        <v>46</v>
      </c>
      <c r="B12" s="43" t="s">
        <v>578</v>
      </c>
      <c r="C12" s="47">
        <v>1.5</v>
      </c>
      <c r="D12" t="s">
        <v>590</v>
      </c>
      <c r="E12" t="s">
        <v>585</v>
      </c>
    </row>
    <row r="13" spans="1:6">
      <c r="A13" s="43" t="s">
        <v>47</v>
      </c>
      <c r="B13" s="43" t="s">
        <v>578</v>
      </c>
      <c r="C13" s="47">
        <v>1</v>
      </c>
      <c r="D13" t="s">
        <v>590</v>
      </c>
      <c r="E13" t="s">
        <v>585</v>
      </c>
    </row>
    <row r="14" spans="1:6">
      <c r="A14" s="44" t="s">
        <v>48</v>
      </c>
      <c r="B14" s="43" t="s">
        <v>578</v>
      </c>
      <c r="C14" s="47">
        <v>1</v>
      </c>
      <c r="D14" t="s">
        <v>591</v>
      </c>
      <c r="E14" t="s">
        <v>585</v>
      </c>
    </row>
    <row r="15" spans="1:6">
      <c r="A15" s="43" t="s">
        <v>567</v>
      </c>
      <c r="B15" s="43" t="s">
        <v>578</v>
      </c>
      <c r="C15" s="47">
        <v>3</v>
      </c>
      <c r="D15" t="s">
        <v>590</v>
      </c>
      <c r="E15" t="s">
        <v>587</v>
      </c>
    </row>
    <row r="16" spans="1:6">
      <c r="A16" s="43" t="s">
        <v>49</v>
      </c>
      <c r="B16" s="43" t="s">
        <v>579</v>
      </c>
      <c r="C16" s="47">
        <v>0.5</v>
      </c>
      <c r="D16" t="s">
        <v>590</v>
      </c>
      <c r="E16" t="s">
        <v>587</v>
      </c>
    </row>
    <row r="17" spans="1:5">
      <c r="A17" s="43" t="s">
        <v>568</v>
      </c>
      <c r="B17" s="43" t="s">
        <v>578</v>
      </c>
      <c r="C17" s="47">
        <v>2</v>
      </c>
      <c r="D17" t="s">
        <v>590</v>
      </c>
      <c r="E17" t="s">
        <v>592</v>
      </c>
    </row>
    <row r="18" spans="1:5">
      <c r="A18" s="43" t="s">
        <v>50</v>
      </c>
      <c r="B18" s="43" t="s">
        <v>578</v>
      </c>
      <c r="C18" s="47">
        <v>3</v>
      </c>
      <c r="D18" t="s">
        <v>590</v>
      </c>
      <c r="E18" t="s">
        <v>587</v>
      </c>
    </row>
    <row r="19" spans="1:5">
      <c r="A19" s="43" t="s">
        <v>51</v>
      </c>
      <c r="B19" s="43" t="s">
        <v>578</v>
      </c>
      <c r="C19" s="47">
        <v>2</v>
      </c>
      <c r="D19" t="s">
        <v>584</v>
      </c>
      <c r="E19" t="s">
        <v>585</v>
      </c>
    </row>
    <row r="20" spans="1:5">
      <c r="A20" s="43" t="s">
        <v>52</v>
      </c>
      <c r="B20" s="43" t="s">
        <v>578</v>
      </c>
      <c r="C20" s="47">
        <v>3</v>
      </c>
      <c r="D20" t="s">
        <v>584</v>
      </c>
      <c r="E20" t="s">
        <v>585</v>
      </c>
    </row>
    <row r="21" spans="1:5">
      <c r="A21" s="43" t="s">
        <v>53</v>
      </c>
      <c r="B21" s="43" t="s">
        <v>580</v>
      </c>
      <c r="C21" s="47">
        <v>2</v>
      </c>
      <c r="D21" t="s">
        <v>584</v>
      </c>
      <c r="E21" t="s">
        <v>585</v>
      </c>
    </row>
    <row r="22" spans="1:5">
      <c r="A22" s="43" t="s">
        <v>54</v>
      </c>
      <c r="B22" s="43" t="s">
        <v>578</v>
      </c>
      <c r="C22" s="47">
        <v>3</v>
      </c>
      <c r="D22" t="s">
        <v>584</v>
      </c>
      <c r="E22" t="s">
        <v>585</v>
      </c>
    </row>
    <row r="23" spans="1:5">
      <c r="A23" s="43" t="s">
        <v>55</v>
      </c>
      <c r="B23" s="43" t="s">
        <v>578</v>
      </c>
      <c r="C23" s="47">
        <v>2</v>
      </c>
      <c r="D23" t="s">
        <v>590</v>
      </c>
      <c r="E23" t="s">
        <v>585</v>
      </c>
    </row>
    <row r="24" spans="1:5">
      <c r="A24" s="43" t="s">
        <v>56</v>
      </c>
      <c r="B24" s="43" t="s">
        <v>579</v>
      </c>
      <c r="C24" s="47">
        <v>4</v>
      </c>
      <c r="D24" t="s">
        <v>590</v>
      </c>
      <c r="E24" t="s">
        <v>587</v>
      </c>
    </row>
    <row r="25" spans="1:5">
      <c r="A25" s="43" t="s">
        <v>57</v>
      </c>
      <c r="B25" s="43" t="s">
        <v>578</v>
      </c>
      <c r="C25" s="47">
        <v>3</v>
      </c>
      <c r="D25" t="s">
        <v>590</v>
      </c>
      <c r="E25" t="s">
        <v>585</v>
      </c>
    </row>
    <row r="26" spans="1:5">
      <c r="A26" s="43" t="s">
        <v>58</v>
      </c>
      <c r="B26" s="43" t="s">
        <v>580</v>
      </c>
      <c r="C26" s="47">
        <v>6</v>
      </c>
      <c r="D26" t="s">
        <v>586</v>
      </c>
      <c r="E26" t="s">
        <v>592</v>
      </c>
    </row>
    <row r="27" spans="1:5">
      <c r="A27" s="43" t="s">
        <v>59</v>
      </c>
      <c r="B27" s="43" t="s">
        <v>579</v>
      </c>
      <c r="C27" s="47">
        <v>1</v>
      </c>
      <c r="D27" t="s">
        <v>584</v>
      </c>
      <c r="E27" t="s">
        <v>585</v>
      </c>
    </row>
    <row r="28" spans="1:5">
      <c r="A28" s="43" t="s">
        <v>60</v>
      </c>
      <c r="B28" s="43" t="s">
        <v>578</v>
      </c>
      <c r="C28" s="47">
        <v>3</v>
      </c>
      <c r="D28" t="s">
        <v>584</v>
      </c>
      <c r="E28" t="s">
        <v>585</v>
      </c>
    </row>
    <row r="29" spans="1:5">
      <c r="A29" s="43" t="s">
        <v>61</v>
      </c>
      <c r="B29" s="43" t="s">
        <v>578</v>
      </c>
      <c r="C29" s="47">
        <v>3</v>
      </c>
      <c r="D29" t="s">
        <v>584</v>
      </c>
      <c r="E29" t="s">
        <v>585</v>
      </c>
    </row>
    <row r="30" spans="1:5">
      <c r="A30" s="43" t="s">
        <v>569</v>
      </c>
      <c r="B30" s="43" t="s">
        <v>578</v>
      </c>
      <c r="C30" s="47">
        <v>1</v>
      </c>
      <c r="D30" t="s">
        <v>586</v>
      </c>
      <c r="E30" t="s">
        <v>587</v>
      </c>
    </row>
    <row r="31" spans="1:5">
      <c r="A31" s="43" t="s">
        <v>570</v>
      </c>
      <c r="B31" s="43" t="s">
        <v>578</v>
      </c>
      <c r="C31" s="47">
        <v>2</v>
      </c>
      <c r="D31" t="s">
        <v>586</v>
      </c>
      <c r="E31" t="s">
        <v>587</v>
      </c>
    </row>
    <row r="32" spans="1:5">
      <c r="A32" s="43" t="s">
        <v>571</v>
      </c>
      <c r="B32" s="43" t="s">
        <v>578</v>
      </c>
      <c r="C32" s="47">
        <v>2</v>
      </c>
      <c r="D32" t="s">
        <v>584</v>
      </c>
      <c r="E32" t="s">
        <v>585</v>
      </c>
    </row>
    <row r="33" spans="1:5">
      <c r="A33" s="43" t="s">
        <v>62</v>
      </c>
      <c r="B33" s="43" t="s">
        <v>578</v>
      </c>
      <c r="C33" s="47">
        <v>6</v>
      </c>
      <c r="D33" t="s">
        <v>586</v>
      </c>
      <c r="E33" t="s">
        <v>592</v>
      </c>
    </row>
    <row r="34" spans="1:5">
      <c r="A34" s="43" t="s">
        <v>572</v>
      </c>
      <c r="B34" s="43" t="s">
        <v>580</v>
      </c>
      <c r="C34" s="47">
        <v>1</v>
      </c>
      <c r="D34" t="s">
        <v>584</v>
      </c>
      <c r="E34" t="s">
        <v>585</v>
      </c>
    </row>
    <row r="35" spans="1:5">
      <c r="A35" s="43" t="s">
        <v>573</v>
      </c>
      <c r="B35" s="43" t="s">
        <v>580</v>
      </c>
      <c r="C35" s="47">
        <v>1</v>
      </c>
      <c r="D35" t="s">
        <v>584</v>
      </c>
      <c r="E35" t="s">
        <v>585</v>
      </c>
    </row>
    <row r="36" spans="1:5">
      <c r="A36" s="43" t="s">
        <v>574</v>
      </c>
      <c r="B36" s="43" t="s">
        <v>578</v>
      </c>
      <c r="C36" s="47">
        <v>1</v>
      </c>
      <c r="D36" t="s">
        <v>584</v>
      </c>
      <c r="E36" t="s">
        <v>585</v>
      </c>
    </row>
    <row r="37" spans="1:5">
      <c r="A37" s="43" t="s">
        <v>575</v>
      </c>
      <c r="B37" s="43" t="s">
        <v>9</v>
      </c>
      <c r="C37" s="47">
        <v>1</v>
      </c>
      <c r="D37" t="s">
        <v>589</v>
      </c>
      <c r="E37" t="s">
        <v>585</v>
      </c>
    </row>
    <row r="38" spans="1:5">
      <c r="A38" s="43" t="s">
        <v>597</v>
      </c>
      <c r="B38" s="43" t="s">
        <v>9</v>
      </c>
      <c r="C38" s="47">
        <v>1</v>
      </c>
      <c r="D38" t="s">
        <v>589</v>
      </c>
      <c r="E38" t="s">
        <v>585</v>
      </c>
    </row>
    <row r="39" spans="1:5">
      <c r="A39" s="43" t="s">
        <v>594</v>
      </c>
      <c r="B39" s="43" t="s">
        <v>9</v>
      </c>
      <c r="C39" s="47">
        <v>1</v>
      </c>
      <c r="D39" t="s">
        <v>589</v>
      </c>
      <c r="E39" t="s">
        <v>585</v>
      </c>
    </row>
    <row r="40" spans="1:5">
      <c r="A40" s="43" t="s">
        <v>595</v>
      </c>
      <c r="B40" s="43" t="s">
        <v>9</v>
      </c>
      <c r="C40" s="47">
        <v>1</v>
      </c>
      <c r="D40" t="s">
        <v>589</v>
      </c>
      <c r="E40" t="s">
        <v>585</v>
      </c>
    </row>
    <row r="41" spans="1:5">
      <c r="A41" s="43" t="s">
        <v>596</v>
      </c>
      <c r="B41" s="43" t="s">
        <v>578</v>
      </c>
      <c r="C41" s="47">
        <v>1</v>
      </c>
      <c r="D41" s="58" t="s">
        <v>591</v>
      </c>
      <c r="E41" t="s">
        <v>585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50"/>
  <sheetViews>
    <sheetView workbookViewId="0">
      <pane ySplit="1" topLeftCell="A2" activePane="bottomLeft" state="frozen"/>
      <selection pane="bottomLeft" activeCell="B3" sqref="B3"/>
    </sheetView>
  </sheetViews>
  <sheetFormatPr defaultColWidth="12.59765625" defaultRowHeight="15.75" customHeight="1"/>
  <cols>
    <col min="1" max="1" width="54.73046875" customWidth="1"/>
    <col min="4" max="4" width="19.265625" customWidth="1"/>
    <col min="5" max="5" width="29.59765625" customWidth="1"/>
    <col min="6" max="6" width="21.46484375" customWidth="1"/>
  </cols>
  <sheetData>
    <row r="1" spans="1:6" ht="15.75" customHeight="1">
      <c r="A1" s="8" t="s">
        <v>397</v>
      </c>
      <c r="B1" s="8" t="s">
        <v>398</v>
      </c>
      <c r="C1" s="8" t="s">
        <v>399</v>
      </c>
      <c r="D1" s="8" t="s">
        <v>400</v>
      </c>
      <c r="E1" s="1" t="s">
        <v>401</v>
      </c>
      <c r="F1" s="1" t="s">
        <v>402</v>
      </c>
    </row>
    <row r="2" spans="1:6" ht="15.75" customHeight="1">
      <c r="A2" s="9" t="s">
        <v>83</v>
      </c>
      <c r="B2" s="10">
        <v>72</v>
      </c>
      <c r="C2" s="10">
        <v>39169.61</v>
      </c>
      <c r="D2" s="10" t="s">
        <v>403</v>
      </c>
    </row>
    <row r="3" spans="1:6" ht="15.75" customHeight="1">
      <c r="A3" s="9" t="s">
        <v>175</v>
      </c>
      <c r="B3" s="10">
        <v>49</v>
      </c>
      <c r="C3" s="10">
        <v>25307.58</v>
      </c>
      <c r="D3" s="10" t="s">
        <v>404</v>
      </c>
    </row>
    <row r="4" spans="1:6" ht="15.75" customHeight="1">
      <c r="A4" s="9" t="s">
        <v>405</v>
      </c>
      <c r="B4" s="10">
        <v>39</v>
      </c>
      <c r="C4" s="10">
        <v>33714.559999999998</v>
      </c>
      <c r="D4" s="10"/>
    </row>
    <row r="5" spans="1:6" ht="15.75" customHeight="1">
      <c r="A5" s="9" t="s">
        <v>118</v>
      </c>
      <c r="B5" s="10">
        <v>33</v>
      </c>
      <c r="C5" s="10">
        <v>10436.629999999999</v>
      </c>
      <c r="D5" s="10"/>
    </row>
    <row r="6" spans="1:6" ht="15.75" customHeight="1">
      <c r="A6" s="9" t="s">
        <v>99</v>
      </c>
      <c r="B6" s="10">
        <v>29</v>
      </c>
      <c r="C6" s="10">
        <v>16171.07</v>
      </c>
      <c r="D6" s="10"/>
    </row>
    <row r="7" spans="1:6" ht="15.75" customHeight="1">
      <c r="A7" s="9" t="s">
        <v>143</v>
      </c>
      <c r="B7" s="10">
        <v>26</v>
      </c>
      <c r="C7" s="10">
        <v>12344.31</v>
      </c>
      <c r="D7" s="10"/>
    </row>
    <row r="8" spans="1:6" ht="15.75" customHeight="1">
      <c r="A8" s="9" t="s">
        <v>169</v>
      </c>
      <c r="B8" s="10">
        <v>25</v>
      </c>
      <c r="C8" s="10">
        <v>11592.86</v>
      </c>
      <c r="D8" s="10"/>
    </row>
    <row r="9" spans="1:6" ht="15.75" customHeight="1">
      <c r="A9" s="9" t="s">
        <v>85</v>
      </c>
      <c r="B9" s="10">
        <v>22</v>
      </c>
      <c r="C9" s="10">
        <v>9547.68</v>
      </c>
      <c r="D9" s="10"/>
    </row>
    <row r="10" spans="1:6" ht="15.75" customHeight="1">
      <c r="A10" s="9" t="s">
        <v>406</v>
      </c>
      <c r="B10" s="10">
        <v>22</v>
      </c>
      <c r="C10" s="10">
        <v>9349.51</v>
      </c>
      <c r="D10" s="10"/>
    </row>
    <row r="11" spans="1:6" ht="15.75" customHeight="1">
      <c r="A11" s="9" t="s">
        <v>111</v>
      </c>
      <c r="B11" s="10">
        <v>21</v>
      </c>
      <c r="C11" s="10">
        <v>6363.71</v>
      </c>
      <c r="D11" s="10"/>
    </row>
    <row r="12" spans="1:6" ht="15.75" customHeight="1">
      <c r="A12" s="9" t="s">
        <v>103</v>
      </c>
      <c r="B12" s="10">
        <v>21</v>
      </c>
      <c r="C12" s="10">
        <v>8659.73</v>
      </c>
      <c r="D12" s="10"/>
    </row>
    <row r="13" spans="1:6" ht="15.75" customHeight="1">
      <c r="A13" s="11" t="s">
        <v>407</v>
      </c>
      <c r="B13" s="10">
        <v>18</v>
      </c>
      <c r="C13" s="10">
        <v>6348.07</v>
      </c>
      <c r="D13" s="10"/>
    </row>
    <row r="14" spans="1:6" ht="15.75" customHeight="1">
      <c r="A14" s="9" t="s">
        <v>408</v>
      </c>
      <c r="B14" s="10">
        <v>17</v>
      </c>
      <c r="C14" s="10">
        <v>13469.24</v>
      </c>
      <c r="D14" s="10"/>
    </row>
    <row r="15" spans="1:6" ht="15.75" customHeight="1">
      <c r="A15" s="9" t="s">
        <v>110</v>
      </c>
      <c r="B15" s="10">
        <v>16</v>
      </c>
      <c r="C15" s="10">
        <v>6719.86</v>
      </c>
      <c r="D15" s="10"/>
    </row>
    <row r="16" spans="1:6" ht="15.75" customHeight="1">
      <c r="A16" s="9" t="s">
        <v>409</v>
      </c>
      <c r="B16" s="10">
        <v>15</v>
      </c>
      <c r="C16" s="10">
        <v>11369.98</v>
      </c>
      <c r="D16" s="10"/>
    </row>
    <row r="17" spans="1:4" ht="15.75" customHeight="1">
      <c r="A17" s="9" t="s">
        <v>410</v>
      </c>
      <c r="B17" s="10">
        <v>14</v>
      </c>
      <c r="C17" s="10">
        <v>3606.48</v>
      </c>
      <c r="D17" s="10"/>
    </row>
    <row r="18" spans="1:4" ht="15.75" customHeight="1">
      <c r="A18" s="9" t="s">
        <v>173</v>
      </c>
      <c r="B18" s="10">
        <v>13</v>
      </c>
      <c r="C18" s="10">
        <v>5334.89</v>
      </c>
      <c r="D18" s="10"/>
    </row>
    <row r="19" spans="1:4" ht="15.75" customHeight="1">
      <c r="A19" s="9" t="s">
        <v>411</v>
      </c>
      <c r="B19" s="10">
        <v>13</v>
      </c>
      <c r="C19" s="10">
        <v>6542.99</v>
      </c>
      <c r="D19" s="10"/>
    </row>
    <row r="20" spans="1:4" ht="15.75" customHeight="1">
      <c r="A20" s="9" t="s">
        <v>97</v>
      </c>
      <c r="B20" s="10">
        <v>13</v>
      </c>
      <c r="C20" s="10">
        <v>9383.84</v>
      </c>
      <c r="D20" s="10"/>
    </row>
    <row r="21" spans="1:4" ht="15.75" customHeight="1">
      <c r="A21" s="9" t="s">
        <v>81</v>
      </c>
      <c r="B21" s="10">
        <v>13</v>
      </c>
      <c r="C21" s="10">
        <v>7313.98</v>
      </c>
      <c r="D21" s="10"/>
    </row>
    <row r="22" spans="1:4" ht="14.25">
      <c r="A22" s="9" t="s">
        <v>193</v>
      </c>
      <c r="B22" s="10">
        <v>11</v>
      </c>
      <c r="C22" s="10">
        <v>4029.85</v>
      </c>
      <c r="D22" s="10"/>
    </row>
    <row r="23" spans="1:4" ht="14.25">
      <c r="A23" s="9" t="s">
        <v>189</v>
      </c>
      <c r="B23" s="10">
        <v>11</v>
      </c>
      <c r="C23" s="10">
        <v>3124.23</v>
      </c>
      <c r="D23" s="10"/>
    </row>
    <row r="24" spans="1:4" ht="14.25">
      <c r="A24" s="9" t="s">
        <v>101</v>
      </c>
      <c r="B24" s="10">
        <v>11</v>
      </c>
      <c r="C24" s="10">
        <v>7271.56</v>
      </c>
      <c r="D24" s="10"/>
    </row>
    <row r="25" spans="1:4" ht="14.25">
      <c r="A25" s="9" t="s">
        <v>124</v>
      </c>
      <c r="B25" s="10">
        <v>10</v>
      </c>
      <c r="C25" s="10">
        <v>5914.84</v>
      </c>
      <c r="D25" s="10"/>
    </row>
    <row r="26" spans="1:4" ht="14.25">
      <c r="A26" s="9" t="s">
        <v>79</v>
      </c>
      <c r="B26" s="10">
        <v>8</v>
      </c>
      <c r="C26" s="10">
        <v>4931.08</v>
      </c>
      <c r="D26" s="10" t="s">
        <v>412</v>
      </c>
    </row>
    <row r="27" spans="1:4" ht="14.25">
      <c r="A27" s="9" t="s">
        <v>413</v>
      </c>
      <c r="B27" s="10">
        <v>8</v>
      </c>
      <c r="C27" s="10">
        <v>6265.48</v>
      </c>
      <c r="D27" s="10"/>
    </row>
    <row r="28" spans="1:4" ht="14.25">
      <c r="A28" s="9" t="s">
        <v>100</v>
      </c>
      <c r="B28" s="10">
        <v>7</v>
      </c>
      <c r="C28" s="10">
        <v>3948.53</v>
      </c>
      <c r="D28" s="10"/>
    </row>
    <row r="29" spans="1:4" ht="14.25">
      <c r="A29" s="9" t="s">
        <v>414</v>
      </c>
      <c r="B29" s="10">
        <v>7</v>
      </c>
      <c r="C29" s="10">
        <v>1865.09</v>
      </c>
      <c r="D29" s="10"/>
    </row>
    <row r="30" spans="1:4" ht="14.25">
      <c r="A30" s="9" t="s">
        <v>192</v>
      </c>
      <c r="B30" s="10">
        <v>6</v>
      </c>
      <c r="C30" s="10">
        <v>3124.23</v>
      </c>
      <c r="D30" s="10"/>
    </row>
    <row r="31" spans="1:4" ht="14.25">
      <c r="A31" s="9" t="s">
        <v>177</v>
      </c>
      <c r="B31" s="10">
        <v>6</v>
      </c>
      <c r="C31" s="10">
        <v>6326.33</v>
      </c>
      <c r="D31" s="10"/>
    </row>
    <row r="32" spans="1:4" ht="14.25">
      <c r="A32" s="9" t="s">
        <v>176</v>
      </c>
      <c r="B32" s="10">
        <v>6</v>
      </c>
      <c r="C32" s="10">
        <v>5929.87</v>
      </c>
      <c r="D32" s="10"/>
    </row>
    <row r="33" spans="1:4" ht="14.25">
      <c r="A33" s="9" t="s">
        <v>168</v>
      </c>
      <c r="B33" s="10">
        <v>6</v>
      </c>
      <c r="C33" s="10">
        <v>3240.49</v>
      </c>
      <c r="D33" s="10"/>
    </row>
    <row r="34" spans="1:4" ht="14.25">
      <c r="A34" s="9" t="s">
        <v>415</v>
      </c>
      <c r="B34" s="10">
        <v>6</v>
      </c>
      <c r="C34" s="10">
        <v>5542.03</v>
      </c>
      <c r="D34" s="10"/>
    </row>
    <row r="35" spans="1:4" ht="14.25">
      <c r="A35" s="9" t="s">
        <v>416</v>
      </c>
      <c r="B35" s="10">
        <v>6</v>
      </c>
      <c r="C35" s="10">
        <v>2734.41</v>
      </c>
      <c r="D35" s="10"/>
    </row>
    <row r="36" spans="1:4" ht="14.25">
      <c r="A36" s="9" t="s">
        <v>188</v>
      </c>
      <c r="B36" s="10">
        <v>5</v>
      </c>
      <c r="C36" s="10">
        <v>2280.25</v>
      </c>
      <c r="D36" s="10"/>
    </row>
    <row r="37" spans="1:4" ht="14.25">
      <c r="A37" s="9" t="s">
        <v>417</v>
      </c>
      <c r="B37" s="10">
        <v>5</v>
      </c>
      <c r="C37" s="10">
        <v>2378.5500000000002</v>
      </c>
      <c r="D37" s="10"/>
    </row>
    <row r="38" spans="1:4" ht="14.25">
      <c r="A38" s="9" t="s">
        <v>418</v>
      </c>
      <c r="B38" s="10">
        <v>5</v>
      </c>
      <c r="C38" s="10">
        <v>3432.2</v>
      </c>
      <c r="D38" s="10"/>
    </row>
    <row r="39" spans="1:4" ht="14.25">
      <c r="A39" s="9" t="s">
        <v>127</v>
      </c>
      <c r="B39" s="10">
        <v>5</v>
      </c>
      <c r="C39" s="10">
        <v>2538.3200000000002</v>
      </c>
      <c r="D39" s="10"/>
    </row>
    <row r="40" spans="1:4" ht="14.25">
      <c r="A40" s="9" t="s">
        <v>419</v>
      </c>
      <c r="B40" s="10">
        <v>4</v>
      </c>
      <c r="C40" s="10">
        <v>1750.82</v>
      </c>
      <c r="D40" s="10"/>
    </row>
    <row r="41" spans="1:4" ht="14.25">
      <c r="A41" s="9" t="s">
        <v>186</v>
      </c>
      <c r="B41" s="10">
        <v>3</v>
      </c>
      <c r="C41" s="10">
        <v>1511.28</v>
      </c>
      <c r="D41" s="10"/>
    </row>
    <row r="42" spans="1:4" ht="14.25">
      <c r="A42" s="9" t="s">
        <v>420</v>
      </c>
      <c r="B42" s="10">
        <v>3</v>
      </c>
      <c r="C42" s="10">
        <v>3304.67</v>
      </c>
      <c r="D42" s="10"/>
    </row>
    <row r="43" spans="1:4" ht="14.25">
      <c r="A43" s="9" t="s">
        <v>421</v>
      </c>
      <c r="B43" s="10">
        <v>2</v>
      </c>
      <c r="C43" s="10">
        <v>2355.1999999999998</v>
      </c>
      <c r="D43" s="10"/>
    </row>
    <row r="44" spans="1:4" ht="14.25">
      <c r="A44" s="9" t="s">
        <v>183</v>
      </c>
      <c r="B44" s="10">
        <v>2</v>
      </c>
      <c r="C44" s="10">
        <v>488.89</v>
      </c>
      <c r="D44" s="10"/>
    </row>
    <row r="45" spans="1:4" ht="14.25">
      <c r="A45" s="9" t="s">
        <v>167</v>
      </c>
      <c r="B45" s="10">
        <v>2</v>
      </c>
      <c r="C45" s="10">
        <v>734.33</v>
      </c>
      <c r="D45" s="10"/>
    </row>
    <row r="46" spans="1:4" ht="14.25">
      <c r="A46" s="9" t="s">
        <v>163</v>
      </c>
      <c r="B46" s="10">
        <v>2</v>
      </c>
      <c r="C46" s="10">
        <v>1832.1</v>
      </c>
      <c r="D46" s="10"/>
    </row>
    <row r="47" spans="1:4" ht="14.25">
      <c r="A47" s="9" t="s">
        <v>422</v>
      </c>
      <c r="B47" s="10">
        <v>2</v>
      </c>
      <c r="C47" s="10">
        <v>1102.04</v>
      </c>
      <c r="D47" s="10"/>
    </row>
    <row r="48" spans="1:4" ht="14.25">
      <c r="A48" s="9" t="s">
        <v>423</v>
      </c>
      <c r="B48" s="10">
        <v>2</v>
      </c>
      <c r="C48" s="10">
        <v>1644.17</v>
      </c>
      <c r="D48" s="10"/>
    </row>
    <row r="49" spans="1:4" ht="14.25">
      <c r="A49" s="9" t="s">
        <v>424</v>
      </c>
      <c r="B49" s="10">
        <v>1</v>
      </c>
      <c r="C49" s="10">
        <v>1097.4000000000001</v>
      </c>
      <c r="D49" s="10"/>
    </row>
    <row r="50" spans="1:4" ht="12.75">
      <c r="C50" s="2">
        <f>SUM(C2:C49)</f>
        <v>343444.82000000012</v>
      </c>
    </row>
  </sheetData>
  <autoFilter ref="A1:C50" xr:uid="{00000000-0009-0000-0000-000007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F165"/>
  <sheetViews>
    <sheetView workbookViewId="0"/>
  </sheetViews>
  <sheetFormatPr defaultColWidth="12.59765625" defaultRowHeight="15.75" customHeight="1"/>
  <cols>
    <col min="1" max="1" width="12.73046875" customWidth="1"/>
    <col min="2" max="2" width="39.1328125" customWidth="1"/>
    <col min="3" max="3" width="65.86328125" customWidth="1"/>
    <col min="4" max="4" width="75.73046875" customWidth="1"/>
    <col min="5" max="5" width="92.73046875" customWidth="1"/>
    <col min="6" max="7" width="12.59765625" hidden="1"/>
    <col min="8" max="8" width="22.86328125" customWidth="1"/>
    <col min="9" max="9" width="28.86328125" customWidth="1"/>
    <col min="10" max="10" width="16.86328125" customWidth="1"/>
    <col min="11" max="11" width="29.1328125" customWidth="1"/>
    <col min="12" max="12" width="22.1328125" customWidth="1"/>
    <col min="13" max="13" width="19.46484375" customWidth="1"/>
    <col min="14" max="14" width="20.86328125" customWidth="1"/>
  </cols>
  <sheetData>
    <row r="1" spans="1:32" ht="12.75">
      <c r="A1" s="2">
        <v>4510</v>
      </c>
      <c r="B1" s="2"/>
      <c r="C1" s="2"/>
      <c r="D1" s="2"/>
      <c r="E1" s="2"/>
      <c r="F1" s="2"/>
      <c r="G1" s="2"/>
      <c r="H1" s="2"/>
      <c r="I1" s="2" t="s">
        <v>425</v>
      </c>
      <c r="J1" s="2" t="s">
        <v>426</v>
      </c>
      <c r="K1" s="2" t="s">
        <v>427</v>
      </c>
      <c r="L1" s="2" t="s">
        <v>428</v>
      </c>
      <c r="M1" s="2" t="s">
        <v>429</v>
      </c>
      <c r="N1" s="2" t="s">
        <v>430</v>
      </c>
      <c r="O1" s="2" t="s">
        <v>431</v>
      </c>
    </row>
    <row r="2" spans="1:32" ht="27" customHeight="1">
      <c r="A2" s="1" t="s">
        <v>432</v>
      </c>
      <c r="B2" s="1" t="s">
        <v>433</v>
      </c>
      <c r="C2" s="1" t="s">
        <v>434</v>
      </c>
      <c r="D2" s="1" t="s">
        <v>196</v>
      </c>
      <c r="E2" s="1" t="s">
        <v>435</v>
      </c>
      <c r="F2" s="1" t="s">
        <v>436</v>
      </c>
      <c r="G2" s="1" t="s">
        <v>437</v>
      </c>
      <c r="H2" s="1" t="s">
        <v>438</v>
      </c>
      <c r="I2" s="12" t="s">
        <v>439</v>
      </c>
      <c r="J2" s="1" t="s">
        <v>440</v>
      </c>
      <c r="K2" s="1" t="s">
        <v>441</v>
      </c>
      <c r="L2" s="1" t="s">
        <v>442</v>
      </c>
      <c r="M2" s="1" t="s">
        <v>443</v>
      </c>
      <c r="N2" s="1" t="s">
        <v>444</v>
      </c>
      <c r="O2" s="1" t="s">
        <v>445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16.5" hidden="1" customHeight="1">
      <c r="A3" s="6">
        <v>5655</v>
      </c>
      <c r="B3" s="5"/>
      <c r="C3" s="5"/>
      <c r="D3" s="5" t="s">
        <v>395</v>
      </c>
      <c r="E3" s="5" t="s">
        <v>396</v>
      </c>
      <c r="F3" t="s">
        <v>1</v>
      </c>
      <c r="G3" s="4" t="s">
        <v>6</v>
      </c>
    </row>
    <row r="4" spans="1:32" ht="13.9" hidden="1">
      <c r="A4" s="6">
        <v>6210</v>
      </c>
      <c r="B4" s="5"/>
      <c r="C4" s="5"/>
      <c r="D4" s="5" t="s">
        <v>62</v>
      </c>
      <c r="E4" s="5" t="s">
        <v>394</v>
      </c>
      <c r="F4" t="s">
        <v>1</v>
      </c>
      <c r="G4" s="4" t="s">
        <v>6</v>
      </c>
    </row>
    <row r="5" spans="1:32" ht="13.9">
      <c r="A5" s="6">
        <v>5107</v>
      </c>
      <c r="B5" s="5"/>
      <c r="C5" s="5"/>
      <c r="D5" s="13" t="s">
        <v>192</v>
      </c>
      <c r="E5" s="7" t="s">
        <v>269</v>
      </c>
      <c r="F5" t="s">
        <v>3</v>
      </c>
      <c r="G5" s="4" t="s">
        <v>12</v>
      </c>
    </row>
    <row r="6" spans="1:32" ht="13.5">
      <c r="A6" s="6">
        <v>5109</v>
      </c>
      <c r="B6" s="7"/>
      <c r="C6" s="5"/>
      <c r="D6" s="13" t="s">
        <v>191</v>
      </c>
      <c r="E6" s="7" t="s">
        <v>268</v>
      </c>
      <c r="F6" s="3" t="s">
        <v>2</v>
      </c>
      <c r="G6" t="s">
        <v>31</v>
      </c>
    </row>
    <row r="7" spans="1:32" ht="13.5" hidden="1">
      <c r="A7" s="6">
        <v>4246</v>
      </c>
      <c r="B7" s="5"/>
      <c r="C7" s="5"/>
      <c r="D7" s="5" t="s">
        <v>47</v>
      </c>
      <c r="E7" s="5" t="s">
        <v>392</v>
      </c>
      <c r="F7" t="s">
        <v>1</v>
      </c>
      <c r="G7" t="s">
        <v>34</v>
      </c>
    </row>
    <row r="8" spans="1:32" ht="13.5" hidden="1">
      <c r="A8" s="6">
        <v>4243</v>
      </c>
      <c r="B8" s="5"/>
      <c r="C8" s="5"/>
      <c r="D8" s="5" t="s">
        <v>37</v>
      </c>
      <c r="E8" s="5" t="s">
        <v>391</v>
      </c>
      <c r="F8" t="s">
        <v>446</v>
      </c>
      <c r="G8" t="s">
        <v>8</v>
      </c>
    </row>
    <row r="9" spans="1:32" ht="13.5" hidden="1">
      <c r="A9" s="6">
        <v>4236</v>
      </c>
      <c r="B9" s="5"/>
      <c r="C9" s="5"/>
      <c r="D9" s="5" t="s">
        <v>40</v>
      </c>
      <c r="E9" s="5" t="s">
        <v>390</v>
      </c>
      <c r="F9" t="s">
        <v>446</v>
      </c>
      <c r="G9" t="s">
        <v>20</v>
      </c>
    </row>
    <row r="10" spans="1:32" ht="13.5" hidden="1">
      <c r="A10" s="6">
        <v>4255</v>
      </c>
      <c r="B10" s="5"/>
      <c r="C10" s="5"/>
      <c r="D10" s="5" t="s">
        <v>48</v>
      </c>
      <c r="E10" s="5" t="s">
        <v>447</v>
      </c>
      <c r="F10" t="s">
        <v>446</v>
      </c>
      <c r="G10" t="s">
        <v>20</v>
      </c>
    </row>
    <row r="11" spans="1:32" ht="13.5">
      <c r="A11" s="6">
        <v>4882</v>
      </c>
      <c r="B11" s="5"/>
      <c r="C11" s="5"/>
      <c r="D11" s="5" t="s">
        <v>448</v>
      </c>
      <c r="E11" s="5" t="s">
        <v>449</v>
      </c>
      <c r="F11" t="s">
        <v>4</v>
      </c>
      <c r="G11" t="s">
        <v>450</v>
      </c>
    </row>
    <row r="12" spans="1:32" ht="13.9">
      <c r="A12" s="6">
        <v>5898</v>
      </c>
      <c r="B12" s="7" t="s">
        <v>451</v>
      </c>
      <c r="C12" s="5"/>
      <c r="D12" s="14" t="s">
        <v>452</v>
      </c>
      <c r="E12" s="5" t="s">
        <v>453</v>
      </c>
      <c r="F12" t="s">
        <v>3</v>
      </c>
      <c r="G12" s="4" t="s">
        <v>12</v>
      </c>
    </row>
    <row r="13" spans="1:32" ht="13.9">
      <c r="A13" s="6">
        <v>5899</v>
      </c>
      <c r="B13" s="7" t="s">
        <v>454</v>
      </c>
      <c r="C13" s="5"/>
      <c r="D13" s="14" t="s">
        <v>455</v>
      </c>
      <c r="E13" s="5" t="s">
        <v>393</v>
      </c>
      <c r="F13" t="s">
        <v>3</v>
      </c>
      <c r="G13" s="4" t="s">
        <v>12</v>
      </c>
    </row>
    <row r="14" spans="1:32" ht="13.9">
      <c r="A14" s="6">
        <v>4764</v>
      </c>
      <c r="B14" s="7" t="s">
        <v>451</v>
      </c>
      <c r="C14" s="5"/>
      <c r="D14" s="15" t="s">
        <v>456</v>
      </c>
      <c r="E14" s="5" t="s">
        <v>360</v>
      </c>
      <c r="F14" t="s">
        <v>3</v>
      </c>
      <c r="G14" s="4" t="s">
        <v>12</v>
      </c>
    </row>
    <row r="15" spans="1:32" ht="13.9">
      <c r="A15" s="6">
        <v>4766</v>
      </c>
      <c r="B15" s="7" t="s">
        <v>451</v>
      </c>
      <c r="C15" s="5"/>
      <c r="D15" s="15" t="s">
        <v>457</v>
      </c>
      <c r="E15" s="5" t="s">
        <v>359</v>
      </c>
      <c r="F15" t="s">
        <v>3</v>
      </c>
      <c r="G15" s="4" t="s">
        <v>12</v>
      </c>
    </row>
    <row r="16" spans="1:32" ht="13.9">
      <c r="A16" s="6">
        <v>4763</v>
      </c>
      <c r="B16" s="7" t="s">
        <v>451</v>
      </c>
      <c r="C16" s="5"/>
      <c r="D16" s="15" t="s">
        <v>458</v>
      </c>
      <c r="E16" s="5" t="s">
        <v>359</v>
      </c>
      <c r="F16" t="s">
        <v>3</v>
      </c>
      <c r="G16" s="4" t="s">
        <v>12</v>
      </c>
    </row>
    <row r="17" spans="1:7" ht="13.9">
      <c r="A17" s="6">
        <v>4765</v>
      </c>
      <c r="B17" s="7" t="s">
        <v>451</v>
      </c>
      <c r="C17" s="5"/>
      <c r="D17" s="15" t="s">
        <v>459</v>
      </c>
      <c r="E17" s="5" t="s">
        <v>358</v>
      </c>
      <c r="F17" t="s">
        <v>3</v>
      </c>
      <c r="G17" s="4" t="s">
        <v>12</v>
      </c>
    </row>
    <row r="18" spans="1:7" ht="13.9">
      <c r="A18" s="6">
        <v>4792</v>
      </c>
      <c r="B18" s="7" t="s">
        <v>454</v>
      </c>
      <c r="C18" s="5"/>
      <c r="D18" s="15" t="s">
        <v>419</v>
      </c>
      <c r="E18" s="5" t="s">
        <v>460</v>
      </c>
      <c r="F18" t="s">
        <v>3</v>
      </c>
      <c r="G18" s="4" t="s">
        <v>12</v>
      </c>
    </row>
    <row r="19" spans="1:7" ht="13.9">
      <c r="A19" s="6">
        <v>4744</v>
      </c>
      <c r="B19" s="5"/>
      <c r="C19" s="5"/>
      <c r="D19" s="5" t="s">
        <v>188</v>
      </c>
      <c r="E19" s="7" t="s">
        <v>297</v>
      </c>
      <c r="F19" s="3" t="s">
        <v>0</v>
      </c>
      <c r="G19" s="4" t="s">
        <v>9</v>
      </c>
    </row>
    <row r="20" spans="1:7" ht="13.5" hidden="1">
      <c r="A20" s="6">
        <v>4237</v>
      </c>
      <c r="B20" s="5"/>
      <c r="C20" s="5"/>
      <c r="D20" s="5" t="s">
        <v>42</v>
      </c>
      <c r="E20" s="5" t="s">
        <v>389</v>
      </c>
      <c r="F20" t="s">
        <v>446</v>
      </c>
      <c r="G20" t="s">
        <v>8</v>
      </c>
    </row>
    <row r="21" spans="1:7" ht="13.5">
      <c r="A21" s="6">
        <v>5377</v>
      </c>
      <c r="B21" s="5"/>
      <c r="C21" s="5"/>
      <c r="D21" s="5" t="s">
        <v>183</v>
      </c>
      <c r="E21" s="5" t="s">
        <v>461</v>
      </c>
      <c r="F21" t="s">
        <v>3</v>
      </c>
      <c r="G21" s="3" t="s">
        <v>28</v>
      </c>
    </row>
    <row r="22" spans="1:7" ht="13.5" hidden="1">
      <c r="A22" s="6">
        <v>4253</v>
      </c>
      <c r="B22" s="5"/>
      <c r="C22" s="5"/>
      <c r="D22" s="5" t="s">
        <v>44</v>
      </c>
      <c r="E22" s="5" t="s">
        <v>388</v>
      </c>
      <c r="F22" t="s">
        <v>1</v>
      </c>
      <c r="G22" t="s">
        <v>34</v>
      </c>
    </row>
    <row r="23" spans="1:7" ht="13.5">
      <c r="A23" s="6">
        <v>4484</v>
      </c>
      <c r="B23" s="5"/>
      <c r="C23" s="5"/>
      <c r="D23" s="5" t="s">
        <v>462</v>
      </c>
      <c r="E23" s="5" t="s">
        <v>463</v>
      </c>
      <c r="F23" s="3" t="s">
        <v>4</v>
      </c>
      <c r="G23" s="3" t="s">
        <v>450</v>
      </c>
    </row>
    <row r="24" spans="1:7" ht="13.5">
      <c r="A24" s="6">
        <v>4568</v>
      </c>
      <c r="B24" s="7" t="s">
        <v>464</v>
      </c>
      <c r="C24" s="5"/>
      <c r="D24" s="15" t="s">
        <v>179</v>
      </c>
      <c r="E24" s="5" t="s">
        <v>180</v>
      </c>
      <c r="F24" s="3" t="s">
        <v>0</v>
      </c>
      <c r="G24" s="3" t="s">
        <v>5</v>
      </c>
    </row>
    <row r="25" spans="1:7" ht="13.5">
      <c r="A25" s="6">
        <v>4570</v>
      </c>
      <c r="B25" s="7" t="s">
        <v>454</v>
      </c>
      <c r="C25" s="5"/>
      <c r="D25" s="15" t="s">
        <v>177</v>
      </c>
      <c r="E25" s="5" t="s">
        <v>178</v>
      </c>
      <c r="F25" s="3" t="s">
        <v>0</v>
      </c>
      <c r="G25" s="3" t="s">
        <v>5</v>
      </c>
    </row>
    <row r="26" spans="1:7" ht="13.5">
      <c r="A26" s="6">
        <v>4758</v>
      </c>
      <c r="B26" s="7" t="s">
        <v>451</v>
      </c>
      <c r="C26" s="5"/>
      <c r="D26" s="16" t="s">
        <v>387</v>
      </c>
      <c r="E26" s="5" t="s">
        <v>465</v>
      </c>
      <c r="F26" t="s">
        <v>4</v>
      </c>
      <c r="G26" t="s">
        <v>7</v>
      </c>
    </row>
    <row r="27" spans="1:7" ht="13.5">
      <c r="A27" s="6">
        <v>4759</v>
      </c>
      <c r="B27" s="7" t="s">
        <v>451</v>
      </c>
      <c r="C27" s="5"/>
      <c r="D27" s="16" t="s">
        <v>386</v>
      </c>
      <c r="E27" s="5" t="s">
        <v>466</v>
      </c>
      <c r="F27" t="s">
        <v>4</v>
      </c>
      <c r="G27" t="s">
        <v>7</v>
      </c>
    </row>
    <row r="28" spans="1:7" ht="13.5">
      <c r="A28" s="6">
        <v>4760</v>
      </c>
      <c r="B28" s="7" t="s">
        <v>454</v>
      </c>
      <c r="C28" s="5"/>
      <c r="D28" s="16" t="s">
        <v>176</v>
      </c>
      <c r="E28" s="5" t="s">
        <v>258</v>
      </c>
      <c r="F28" t="s">
        <v>4</v>
      </c>
      <c r="G28" t="s">
        <v>7</v>
      </c>
    </row>
    <row r="29" spans="1:7" ht="13.5">
      <c r="A29" s="6">
        <v>5326</v>
      </c>
      <c r="B29" s="7" t="s">
        <v>467</v>
      </c>
      <c r="C29" s="5"/>
      <c r="D29" s="5" t="s">
        <v>175</v>
      </c>
      <c r="E29" s="5" t="s">
        <v>82</v>
      </c>
      <c r="F29" s="3" t="s">
        <v>0</v>
      </c>
      <c r="G29" s="3" t="s">
        <v>15</v>
      </c>
    </row>
    <row r="30" spans="1:7" ht="13.5">
      <c r="A30" s="6">
        <v>4486</v>
      </c>
      <c r="B30" s="5"/>
      <c r="C30" s="5"/>
      <c r="D30" s="5" t="s">
        <v>173</v>
      </c>
      <c r="E30" s="5" t="s">
        <v>468</v>
      </c>
      <c r="F30" s="3" t="s">
        <v>0</v>
      </c>
      <c r="G30" s="3" t="s">
        <v>25</v>
      </c>
    </row>
    <row r="31" spans="1:7" ht="13.5" hidden="1">
      <c r="A31" s="6">
        <v>4245</v>
      </c>
      <c r="B31" s="5"/>
      <c r="C31" s="5"/>
      <c r="D31" s="5" t="s">
        <v>61</v>
      </c>
      <c r="E31" s="5" t="s">
        <v>384</v>
      </c>
      <c r="F31" t="s">
        <v>1</v>
      </c>
      <c r="G31" t="s">
        <v>34</v>
      </c>
    </row>
    <row r="32" spans="1:7" ht="13.5">
      <c r="A32" s="6">
        <v>4483</v>
      </c>
      <c r="B32" s="7" t="s">
        <v>469</v>
      </c>
      <c r="C32" s="7"/>
      <c r="D32" s="7" t="s">
        <v>171</v>
      </c>
      <c r="E32" s="5" t="s">
        <v>172</v>
      </c>
      <c r="F32" s="3" t="s">
        <v>4</v>
      </c>
      <c r="G32" s="3" t="s">
        <v>450</v>
      </c>
    </row>
    <row r="33" spans="1:7" ht="13.9">
      <c r="A33" s="6">
        <v>4696</v>
      </c>
      <c r="B33" s="5"/>
      <c r="C33" s="5"/>
      <c r="D33" s="7" t="s">
        <v>169</v>
      </c>
      <c r="E33" s="5" t="s">
        <v>470</v>
      </c>
      <c r="F33" t="s">
        <v>3</v>
      </c>
      <c r="G33" s="4" t="s">
        <v>18</v>
      </c>
    </row>
    <row r="34" spans="1:7" ht="13.9">
      <c r="A34" s="6">
        <v>5889</v>
      </c>
      <c r="B34" s="5"/>
      <c r="C34" s="5"/>
      <c r="D34" s="5" t="s">
        <v>382</v>
      </c>
      <c r="E34" s="5" t="s">
        <v>383</v>
      </c>
      <c r="F34" t="s">
        <v>3</v>
      </c>
      <c r="G34" s="4" t="s">
        <v>18</v>
      </c>
    </row>
    <row r="35" spans="1:7" ht="13.5">
      <c r="A35" s="6">
        <v>4849</v>
      </c>
      <c r="B35" s="7" t="s">
        <v>464</v>
      </c>
      <c r="C35" s="5"/>
      <c r="D35" s="17" t="s">
        <v>380</v>
      </c>
      <c r="E35" s="5" t="s">
        <v>381</v>
      </c>
      <c r="F35" s="3" t="s">
        <v>0</v>
      </c>
      <c r="G35" s="3" t="s">
        <v>29</v>
      </c>
    </row>
    <row r="36" spans="1:7" ht="13.5">
      <c r="A36" s="6">
        <v>4848</v>
      </c>
      <c r="B36" s="7" t="s">
        <v>454</v>
      </c>
      <c r="C36" s="5"/>
      <c r="D36" s="17" t="s">
        <v>168</v>
      </c>
      <c r="E36" s="5" t="s">
        <v>329</v>
      </c>
      <c r="F36" s="3" t="s">
        <v>0</v>
      </c>
      <c r="G36" s="3" t="s">
        <v>29</v>
      </c>
    </row>
    <row r="37" spans="1:7" ht="13.5">
      <c r="A37" s="6">
        <v>5157</v>
      </c>
      <c r="B37" s="5"/>
      <c r="C37" s="5"/>
      <c r="D37" s="5" t="s">
        <v>167</v>
      </c>
      <c r="E37" s="5" t="s">
        <v>328</v>
      </c>
      <c r="F37" t="s">
        <v>2</v>
      </c>
      <c r="G37" t="s">
        <v>27</v>
      </c>
    </row>
    <row r="38" spans="1:7" ht="13.5">
      <c r="A38" s="6">
        <v>5716</v>
      </c>
      <c r="B38" s="5"/>
      <c r="C38" s="5"/>
      <c r="D38" s="18" t="s">
        <v>471</v>
      </c>
      <c r="E38" s="5" t="s">
        <v>148</v>
      </c>
      <c r="F38" t="s">
        <v>2</v>
      </c>
      <c r="G38" t="s">
        <v>230</v>
      </c>
    </row>
    <row r="39" spans="1:7" ht="13.5">
      <c r="A39" s="6">
        <v>4566</v>
      </c>
      <c r="B39" s="5"/>
      <c r="C39" s="5"/>
      <c r="D39" s="5" t="s">
        <v>163</v>
      </c>
      <c r="E39" s="5" t="s">
        <v>164</v>
      </c>
      <c r="F39" t="s">
        <v>2</v>
      </c>
      <c r="G39" t="s">
        <v>230</v>
      </c>
    </row>
    <row r="40" spans="1:7" ht="13.5">
      <c r="A40" s="6">
        <v>5327</v>
      </c>
      <c r="B40" s="5"/>
      <c r="C40" s="5"/>
      <c r="D40" s="5" t="s">
        <v>472</v>
      </c>
      <c r="E40" s="5" t="s">
        <v>473</v>
      </c>
      <c r="F40" t="s">
        <v>1</v>
      </c>
      <c r="G40" s="3" t="s">
        <v>26</v>
      </c>
    </row>
    <row r="41" spans="1:7" ht="13.5">
      <c r="A41" s="6">
        <v>5166</v>
      </c>
      <c r="B41" s="7" t="s">
        <v>464</v>
      </c>
      <c r="C41" s="5"/>
      <c r="D41" s="5" t="s">
        <v>378</v>
      </c>
      <c r="E41" s="5" t="s">
        <v>379</v>
      </c>
      <c r="F41" s="3" t="s">
        <v>0</v>
      </c>
      <c r="G41" t="s">
        <v>21</v>
      </c>
    </row>
    <row r="42" spans="1:7" ht="13.5">
      <c r="A42" s="6">
        <v>5163</v>
      </c>
      <c r="B42" s="7" t="s">
        <v>464</v>
      </c>
      <c r="C42" s="5"/>
      <c r="D42" s="5" t="s">
        <v>376</v>
      </c>
      <c r="E42" s="5" t="s">
        <v>377</v>
      </c>
      <c r="F42" s="3" t="s">
        <v>0</v>
      </c>
      <c r="G42" t="s">
        <v>21</v>
      </c>
    </row>
    <row r="43" spans="1:7" ht="13.5" hidden="1">
      <c r="A43" s="6">
        <v>4262</v>
      </c>
      <c r="B43" s="5"/>
      <c r="C43" s="5"/>
      <c r="D43" s="5" t="s">
        <v>57</v>
      </c>
      <c r="E43" s="5" t="s">
        <v>474</v>
      </c>
      <c r="F43" t="s">
        <v>446</v>
      </c>
      <c r="G43" t="s">
        <v>20</v>
      </c>
    </row>
    <row r="44" spans="1:7" ht="13.5" hidden="1">
      <c r="A44" s="6">
        <v>4223</v>
      </c>
      <c r="B44" s="5"/>
      <c r="C44" s="5"/>
      <c r="D44" s="5" t="s">
        <v>374</v>
      </c>
      <c r="E44" s="5" t="s">
        <v>375</v>
      </c>
      <c r="F44" t="s">
        <v>1</v>
      </c>
      <c r="G44" s="3" t="s">
        <v>26</v>
      </c>
    </row>
    <row r="45" spans="1:7" ht="13.5">
      <c r="A45" s="6">
        <v>4727</v>
      </c>
      <c r="B45" s="7" t="s">
        <v>475</v>
      </c>
      <c r="C45" s="7" t="s">
        <v>476</v>
      </c>
      <c r="D45" s="19" t="s">
        <v>160</v>
      </c>
      <c r="E45" s="5" t="s">
        <v>161</v>
      </c>
      <c r="F45" t="s">
        <v>2</v>
      </c>
      <c r="G45" s="3" t="s">
        <v>31</v>
      </c>
    </row>
    <row r="46" spans="1:7" ht="13.5">
      <c r="A46" s="6">
        <v>5090</v>
      </c>
      <c r="B46" s="7" t="s">
        <v>451</v>
      </c>
      <c r="C46" s="5"/>
      <c r="D46" s="20" t="s">
        <v>477</v>
      </c>
      <c r="E46" s="5" t="s">
        <v>264</v>
      </c>
      <c r="F46" s="3" t="s">
        <v>0</v>
      </c>
      <c r="G46" s="3" t="s">
        <v>36</v>
      </c>
    </row>
    <row r="47" spans="1:7" ht="13.5">
      <c r="A47" s="6">
        <v>4725</v>
      </c>
      <c r="B47" s="7" t="s">
        <v>451</v>
      </c>
      <c r="C47" s="5"/>
      <c r="D47" s="20" t="s">
        <v>157</v>
      </c>
      <c r="E47" s="5" t="s">
        <v>158</v>
      </c>
      <c r="F47" s="3" t="s">
        <v>0</v>
      </c>
      <c r="G47" s="3" t="s">
        <v>36</v>
      </c>
    </row>
    <row r="48" spans="1:7" ht="13.5">
      <c r="A48" s="6">
        <v>4778</v>
      </c>
      <c r="B48" s="7" t="s">
        <v>454</v>
      </c>
      <c r="C48" s="5"/>
      <c r="D48" s="20" t="s">
        <v>156</v>
      </c>
      <c r="E48" s="5" t="s">
        <v>265</v>
      </c>
      <c r="F48" s="3" t="s">
        <v>0</v>
      </c>
      <c r="G48" s="3" t="s">
        <v>36</v>
      </c>
    </row>
    <row r="49" spans="1:7" ht="13.5" hidden="1">
      <c r="A49" s="6">
        <v>4259</v>
      </c>
      <c r="B49" s="5"/>
      <c r="C49" s="5"/>
      <c r="D49" s="5" t="s">
        <v>56</v>
      </c>
      <c r="E49" s="5" t="s">
        <v>478</v>
      </c>
      <c r="F49" t="s">
        <v>1</v>
      </c>
      <c r="G49" t="s">
        <v>16</v>
      </c>
    </row>
    <row r="50" spans="1:7" ht="13.5" hidden="1">
      <c r="A50" s="6">
        <v>4220</v>
      </c>
      <c r="B50" s="5"/>
      <c r="C50" s="5"/>
      <c r="D50" s="5" t="s">
        <v>58</v>
      </c>
      <c r="E50" s="5" t="s">
        <v>371</v>
      </c>
      <c r="F50" t="s">
        <v>1</v>
      </c>
      <c r="G50" t="s">
        <v>6</v>
      </c>
    </row>
    <row r="51" spans="1:7" ht="13.9">
      <c r="A51" s="6">
        <v>5373</v>
      </c>
      <c r="B51" s="21" t="s">
        <v>479</v>
      </c>
      <c r="C51" s="5"/>
      <c r="D51" s="22" t="s">
        <v>480</v>
      </c>
      <c r="E51" s="5" t="s">
        <v>370</v>
      </c>
      <c r="F51" s="3" t="s">
        <v>0</v>
      </c>
      <c r="G51" s="4" t="s">
        <v>9</v>
      </c>
    </row>
    <row r="52" spans="1:7" ht="13.9">
      <c r="A52" s="6">
        <v>4477</v>
      </c>
      <c r="B52" s="21" t="s">
        <v>481</v>
      </c>
      <c r="C52" s="5"/>
      <c r="D52" s="22" t="s">
        <v>482</v>
      </c>
      <c r="E52" s="5" t="s">
        <v>369</v>
      </c>
      <c r="F52" s="3" t="s">
        <v>0</v>
      </c>
      <c r="G52" s="4" t="s">
        <v>9</v>
      </c>
    </row>
    <row r="53" spans="1:7" ht="13.9">
      <c r="A53" s="6">
        <v>4476</v>
      </c>
      <c r="B53" s="21" t="s">
        <v>481</v>
      </c>
      <c r="C53" s="5"/>
      <c r="D53" s="22" t="s">
        <v>367</v>
      </c>
      <c r="E53" s="5" t="s">
        <v>368</v>
      </c>
      <c r="F53" s="3" t="s">
        <v>0</v>
      </c>
      <c r="G53" s="4" t="s">
        <v>9</v>
      </c>
    </row>
    <row r="54" spans="1:7" ht="13.9">
      <c r="A54" s="6">
        <v>4478</v>
      </c>
      <c r="B54" s="21" t="s">
        <v>481</v>
      </c>
      <c r="C54" s="5"/>
      <c r="D54" s="22" t="s">
        <v>308</v>
      </c>
      <c r="E54" s="5" t="s">
        <v>309</v>
      </c>
      <c r="F54" s="3" t="s">
        <v>0</v>
      </c>
      <c r="G54" s="4" t="s">
        <v>9</v>
      </c>
    </row>
    <row r="55" spans="1:7" ht="13.9">
      <c r="A55" s="6">
        <v>4474</v>
      </c>
      <c r="B55" s="21" t="s">
        <v>481</v>
      </c>
      <c r="C55" s="5"/>
      <c r="D55" s="22" t="s">
        <v>306</v>
      </c>
      <c r="E55" s="5" t="s">
        <v>307</v>
      </c>
      <c r="F55" s="3" t="s">
        <v>0</v>
      </c>
      <c r="G55" s="4" t="s">
        <v>9</v>
      </c>
    </row>
    <row r="56" spans="1:7" ht="13.9">
      <c r="A56" s="6">
        <v>4472</v>
      </c>
      <c r="B56" s="21" t="s">
        <v>481</v>
      </c>
      <c r="C56" s="5"/>
      <c r="D56" s="22" t="s">
        <v>302</v>
      </c>
      <c r="E56" s="5" t="s">
        <v>303</v>
      </c>
      <c r="F56" s="3" t="s">
        <v>0</v>
      </c>
      <c r="G56" s="4" t="s">
        <v>9</v>
      </c>
    </row>
    <row r="57" spans="1:7" ht="13.9">
      <c r="A57" s="6">
        <v>4774</v>
      </c>
      <c r="B57" s="21" t="s">
        <v>481</v>
      </c>
      <c r="C57" s="5"/>
      <c r="D57" s="22" t="s">
        <v>153</v>
      </c>
      <c r="E57" s="5" t="s">
        <v>295</v>
      </c>
      <c r="F57" s="3" t="s">
        <v>0</v>
      </c>
      <c r="G57" s="4" t="s">
        <v>9</v>
      </c>
    </row>
    <row r="58" spans="1:7" ht="13.5" hidden="1">
      <c r="A58" s="6">
        <v>4261</v>
      </c>
      <c r="B58" s="5"/>
      <c r="C58" s="5"/>
      <c r="D58" s="5" t="s">
        <v>39</v>
      </c>
      <c r="E58" s="5" t="s">
        <v>366</v>
      </c>
      <c r="F58" t="s">
        <v>1</v>
      </c>
      <c r="G58" t="s">
        <v>16</v>
      </c>
    </row>
    <row r="59" spans="1:7" ht="13.5">
      <c r="A59" s="6">
        <v>5635</v>
      </c>
      <c r="B59" s="5"/>
      <c r="C59" s="7" t="s">
        <v>483</v>
      </c>
      <c r="D59" s="7" t="s">
        <v>415</v>
      </c>
      <c r="E59" s="5" t="s">
        <v>150</v>
      </c>
      <c r="F59" t="s">
        <v>4</v>
      </c>
      <c r="G59" t="s">
        <v>450</v>
      </c>
    </row>
    <row r="60" spans="1:7" ht="13.5">
      <c r="A60" s="6">
        <v>4466</v>
      </c>
      <c r="B60" s="5"/>
      <c r="C60" s="5"/>
      <c r="D60" s="23" t="s">
        <v>144</v>
      </c>
      <c r="E60" s="5" t="s">
        <v>145</v>
      </c>
      <c r="F60" s="3" t="s">
        <v>0</v>
      </c>
      <c r="G60" s="3" t="s">
        <v>5</v>
      </c>
    </row>
    <row r="61" spans="1:7" ht="13.5">
      <c r="A61" s="6">
        <v>4795</v>
      </c>
      <c r="B61" s="5"/>
      <c r="C61" s="5"/>
      <c r="D61" s="23" t="s">
        <v>143</v>
      </c>
      <c r="E61" s="5" t="s">
        <v>272</v>
      </c>
      <c r="F61" s="3" t="s">
        <v>0</v>
      </c>
      <c r="G61" s="3" t="s">
        <v>5</v>
      </c>
    </row>
    <row r="62" spans="1:7" ht="13.5">
      <c r="A62" s="6">
        <v>4797</v>
      </c>
      <c r="B62" s="7" t="s">
        <v>464</v>
      </c>
      <c r="C62" s="5"/>
      <c r="D62" s="5" t="s">
        <v>364</v>
      </c>
      <c r="E62" s="5" t="s">
        <v>365</v>
      </c>
      <c r="F62" s="3" t="s">
        <v>0</v>
      </c>
      <c r="G62" s="3" t="s">
        <v>5</v>
      </c>
    </row>
    <row r="63" spans="1:7" ht="13.5">
      <c r="A63" s="6">
        <v>4798</v>
      </c>
      <c r="B63" s="7" t="s">
        <v>454</v>
      </c>
      <c r="C63" s="5"/>
      <c r="D63" s="5" t="s">
        <v>422</v>
      </c>
      <c r="E63" s="5" t="s">
        <v>214</v>
      </c>
      <c r="F63" s="3" t="s">
        <v>0</v>
      </c>
      <c r="G63" s="3" t="s">
        <v>5</v>
      </c>
    </row>
    <row r="64" spans="1:7" ht="13.5">
      <c r="A64" s="6">
        <v>5151</v>
      </c>
      <c r="B64" s="21" t="s">
        <v>481</v>
      </c>
      <c r="C64" s="5"/>
      <c r="D64" s="5" t="s">
        <v>141</v>
      </c>
      <c r="E64" s="5" t="s">
        <v>288</v>
      </c>
      <c r="F64" s="3" t="s">
        <v>0</v>
      </c>
      <c r="G64" s="3" t="s">
        <v>5</v>
      </c>
    </row>
    <row r="65" spans="1:7" ht="13.5">
      <c r="A65" s="6">
        <v>5152</v>
      </c>
      <c r="B65" s="21" t="s">
        <v>481</v>
      </c>
      <c r="C65" s="5"/>
      <c r="D65" s="5" t="s">
        <v>140</v>
      </c>
      <c r="E65" s="5" t="s">
        <v>288</v>
      </c>
      <c r="F65" s="3" t="s">
        <v>0</v>
      </c>
      <c r="G65" s="3" t="s">
        <v>5</v>
      </c>
    </row>
    <row r="66" spans="1:7" ht="13.5">
      <c r="A66" s="6">
        <v>5110</v>
      </c>
      <c r="B66" s="21" t="s">
        <v>481</v>
      </c>
      <c r="C66" s="5"/>
      <c r="D66" s="15" t="s">
        <v>138</v>
      </c>
      <c r="E66" s="5" t="s">
        <v>289</v>
      </c>
      <c r="F66" s="3" t="s">
        <v>0</v>
      </c>
      <c r="G66" s="3" t="s">
        <v>5</v>
      </c>
    </row>
    <row r="67" spans="1:7" ht="13.5">
      <c r="A67" s="6">
        <v>4829</v>
      </c>
      <c r="B67" s="21" t="s">
        <v>481</v>
      </c>
      <c r="C67" s="5"/>
      <c r="D67" s="15" t="s">
        <v>137</v>
      </c>
      <c r="E67" s="5" t="s">
        <v>260</v>
      </c>
      <c r="F67" s="3" t="s">
        <v>0</v>
      </c>
      <c r="G67" s="3" t="s">
        <v>5</v>
      </c>
    </row>
    <row r="68" spans="1:7" ht="13.5">
      <c r="A68" s="6">
        <v>4564</v>
      </c>
      <c r="B68" s="7" t="s">
        <v>484</v>
      </c>
      <c r="C68" s="5"/>
      <c r="D68" s="5" t="s">
        <v>135</v>
      </c>
      <c r="E68" s="5" t="s">
        <v>136</v>
      </c>
      <c r="F68" s="3" t="s">
        <v>0</v>
      </c>
      <c r="G68" s="3" t="s">
        <v>5</v>
      </c>
    </row>
    <row r="69" spans="1:7" ht="13.5">
      <c r="A69" s="6">
        <v>5172</v>
      </c>
      <c r="B69" s="7" t="s">
        <v>464</v>
      </c>
      <c r="C69" s="5"/>
      <c r="D69" s="24" t="s">
        <v>134</v>
      </c>
      <c r="E69" s="5" t="s">
        <v>227</v>
      </c>
      <c r="F69" s="3" t="s">
        <v>0</v>
      </c>
      <c r="G69" t="s">
        <v>21</v>
      </c>
    </row>
    <row r="70" spans="1:7" ht="13.5">
      <c r="A70" s="6">
        <v>5173</v>
      </c>
      <c r="B70" s="7" t="s">
        <v>454</v>
      </c>
      <c r="C70" s="5"/>
      <c r="D70" s="24" t="s">
        <v>485</v>
      </c>
      <c r="E70" s="5" t="s">
        <v>226</v>
      </c>
      <c r="F70" s="3" t="s">
        <v>0</v>
      </c>
      <c r="G70" t="s">
        <v>21</v>
      </c>
    </row>
    <row r="71" spans="1:7" ht="13.5">
      <c r="A71" s="6">
        <v>4471</v>
      </c>
      <c r="B71" s="5"/>
      <c r="C71" s="5"/>
      <c r="D71" s="5" t="s">
        <v>486</v>
      </c>
      <c r="E71" s="5" t="s">
        <v>130</v>
      </c>
    </row>
    <row r="72" spans="1:7" ht="13.5" hidden="1">
      <c r="A72" s="6">
        <v>4234</v>
      </c>
      <c r="B72" s="5"/>
      <c r="C72" s="5"/>
      <c r="D72" s="5" t="s">
        <v>60</v>
      </c>
      <c r="E72" s="5" t="s">
        <v>363</v>
      </c>
    </row>
    <row r="73" spans="1:7" ht="13.9">
      <c r="A73" s="6">
        <v>5365</v>
      </c>
      <c r="B73" s="5"/>
      <c r="C73" s="5"/>
      <c r="D73" s="5" t="s">
        <v>128</v>
      </c>
      <c r="E73" s="5" t="s">
        <v>487</v>
      </c>
      <c r="F73" s="25" t="s">
        <v>0</v>
      </c>
    </row>
    <row r="74" spans="1:7" ht="13.9">
      <c r="A74" s="6">
        <v>4221</v>
      </c>
      <c r="B74" s="5"/>
      <c r="C74" s="5"/>
      <c r="D74" s="5" t="s">
        <v>361</v>
      </c>
      <c r="E74" s="5" t="s">
        <v>362</v>
      </c>
      <c r="F74" s="25" t="s">
        <v>0</v>
      </c>
    </row>
    <row r="75" spans="1:7" ht="13.5">
      <c r="A75" s="6">
        <v>5126</v>
      </c>
      <c r="B75" s="7" t="s">
        <v>484</v>
      </c>
      <c r="C75" s="5"/>
      <c r="D75" s="5" t="s">
        <v>418</v>
      </c>
      <c r="E75" s="5" t="s">
        <v>257</v>
      </c>
    </row>
    <row r="76" spans="1:7" ht="13.5">
      <c r="A76" s="6">
        <v>5071</v>
      </c>
      <c r="B76" s="7" t="s">
        <v>451</v>
      </c>
      <c r="C76" s="5"/>
      <c r="D76" s="17" t="s">
        <v>356</v>
      </c>
      <c r="E76" s="5" t="s">
        <v>357</v>
      </c>
    </row>
    <row r="77" spans="1:7" ht="13.5">
      <c r="A77" s="6">
        <v>4892</v>
      </c>
      <c r="B77" s="7" t="s">
        <v>454</v>
      </c>
      <c r="C77" s="5"/>
      <c r="D77" s="17" t="s">
        <v>127</v>
      </c>
      <c r="E77" s="5" t="s">
        <v>266</v>
      </c>
      <c r="F77" s="2" t="s">
        <v>1</v>
      </c>
    </row>
    <row r="78" spans="1:7" ht="13.5">
      <c r="A78" s="6">
        <v>4642</v>
      </c>
      <c r="B78" s="7" t="s">
        <v>484</v>
      </c>
      <c r="C78" s="7" t="s">
        <v>488</v>
      </c>
      <c r="D78" s="5" t="s">
        <v>124</v>
      </c>
      <c r="E78" s="5" t="s">
        <v>489</v>
      </c>
    </row>
    <row r="79" spans="1:7" ht="13.5">
      <c r="A79" s="6">
        <v>4643</v>
      </c>
      <c r="B79" s="7" t="s">
        <v>451</v>
      </c>
      <c r="C79" s="5"/>
      <c r="D79" s="5" t="s">
        <v>122</v>
      </c>
      <c r="E79" s="5" t="s">
        <v>123</v>
      </c>
    </row>
    <row r="80" spans="1:7" ht="13.5" hidden="1">
      <c r="A80" s="6">
        <v>4250</v>
      </c>
      <c r="B80" s="5"/>
      <c r="C80" s="5"/>
      <c r="D80" s="5" t="s">
        <v>53</v>
      </c>
      <c r="E80" s="5" t="s">
        <v>353</v>
      </c>
    </row>
    <row r="81" spans="1:7" ht="13.5">
      <c r="A81" s="6">
        <v>5274</v>
      </c>
      <c r="B81" s="21" t="s">
        <v>481</v>
      </c>
      <c r="C81" s="7" t="s">
        <v>490</v>
      </c>
      <c r="D81" s="26" t="s">
        <v>120</v>
      </c>
      <c r="E81" s="5" t="s">
        <v>254</v>
      </c>
    </row>
    <row r="82" spans="1:7" ht="13.5">
      <c r="A82" s="6">
        <v>5367</v>
      </c>
      <c r="B82" s="21" t="s">
        <v>481</v>
      </c>
      <c r="C82" s="5"/>
      <c r="D82" s="26" t="s">
        <v>424</v>
      </c>
      <c r="E82" s="5" t="s">
        <v>255</v>
      </c>
    </row>
    <row r="83" spans="1:7" ht="13.5">
      <c r="A83" s="6">
        <v>5268</v>
      </c>
      <c r="B83" s="21" t="s">
        <v>481</v>
      </c>
      <c r="C83" s="5"/>
      <c r="D83" s="26" t="s">
        <v>119</v>
      </c>
      <c r="E83" s="5" t="s">
        <v>256</v>
      </c>
    </row>
    <row r="84" spans="1:7" ht="13.5">
      <c r="A84" s="6">
        <v>4659</v>
      </c>
      <c r="B84" s="5"/>
      <c r="C84" s="5"/>
      <c r="D84" s="5" t="s">
        <v>118</v>
      </c>
      <c r="E84" s="5" t="s">
        <v>491</v>
      </c>
    </row>
    <row r="85" spans="1:7" ht="13.5">
      <c r="A85" s="6">
        <v>4731</v>
      </c>
      <c r="B85" s="7" t="s">
        <v>451</v>
      </c>
      <c r="C85" s="5"/>
      <c r="D85" s="17" t="s">
        <v>116</v>
      </c>
      <c r="E85" s="5" t="s">
        <v>117</v>
      </c>
    </row>
    <row r="86" spans="1:7" ht="13.5">
      <c r="A86" s="6">
        <v>4732</v>
      </c>
      <c r="B86" s="7" t="s">
        <v>454</v>
      </c>
      <c r="C86" s="5"/>
      <c r="D86" s="17" t="s">
        <v>114</v>
      </c>
      <c r="E86" s="5" t="s">
        <v>115</v>
      </c>
    </row>
    <row r="87" spans="1:7" ht="13.5">
      <c r="A87" s="6">
        <v>4735</v>
      </c>
      <c r="B87" s="27" t="s">
        <v>451</v>
      </c>
      <c r="C87" s="5"/>
      <c r="D87" s="17" t="s">
        <v>113</v>
      </c>
      <c r="E87" s="5" t="s">
        <v>492</v>
      </c>
    </row>
    <row r="88" spans="1:7" ht="13.5">
      <c r="A88" s="6">
        <v>4734</v>
      </c>
      <c r="B88" s="27" t="s">
        <v>454</v>
      </c>
      <c r="C88" s="5"/>
      <c r="D88" s="17" t="s">
        <v>111</v>
      </c>
      <c r="E88" s="5" t="s">
        <v>112</v>
      </c>
    </row>
    <row r="89" spans="1:7" ht="13.5">
      <c r="A89" s="6">
        <v>4817</v>
      </c>
      <c r="B89" s="27" t="s">
        <v>493</v>
      </c>
      <c r="C89" s="7" t="s">
        <v>494</v>
      </c>
      <c r="D89" s="5" t="s">
        <v>110</v>
      </c>
      <c r="E89" s="5" t="s">
        <v>495</v>
      </c>
    </row>
    <row r="90" spans="1:7" ht="13.5">
      <c r="A90" s="6">
        <v>4688</v>
      </c>
      <c r="B90" s="21" t="s">
        <v>481</v>
      </c>
      <c r="C90" s="5"/>
      <c r="D90" s="5" t="s">
        <v>496</v>
      </c>
      <c r="E90" s="5" t="s">
        <v>249</v>
      </c>
    </row>
    <row r="91" spans="1:7" ht="13.5">
      <c r="A91" s="6">
        <v>4674</v>
      </c>
      <c r="B91" s="21" t="s">
        <v>481</v>
      </c>
      <c r="C91" s="5"/>
      <c r="D91" s="5" t="s">
        <v>107</v>
      </c>
      <c r="E91" s="5" t="s">
        <v>108</v>
      </c>
    </row>
    <row r="92" spans="1:7" ht="13.5">
      <c r="A92" s="6">
        <v>4880</v>
      </c>
      <c r="B92" s="7" t="s">
        <v>464</v>
      </c>
      <c r="C92" s="5"/>
      <c r="D92" s="17" t="s">
        <v>497</v>
      </c>
      <c r="E92" s="5" t="s">
        <v>355</v>
      </c>
    </row>
    <row r="93" spans="1:7" ht="13.5">
      <c r="A93" s="6">
        <v>4878</v>
      </c>
      <c r="B93" s="7" t="s">
        <v>464</v>
      </c>
      <c r="C93" s="5"/>
      <c r="D93" s="17" t="s">
        <v>498</v>
      </c>
      <c r="E93" s="5" t="s">
        <v>354</v>
      </c>
      <c r="F93" s="2" t="s">
        <v>1</v>
      </c>
      <c r="G93" s="2" t="s">
        <v>34</v>
      </c>
    </row>
    <row r="94" spans="1:7" ht="13.5">
      <c r="A94" s="6">
        <v>4605</v>
      </c>
      <c r="B94" s="5"/>
      <c r="C94" s="5"/>
      <c r="D94" s="28" t="s">
        <v>499</v>
      </c>
      <c r="E94" s="7" t="s">
        <v>500</v>
      </c>
    </row>
    <row r="95" spans="1:7" ht="13.5">
      <c r="A95" s="6">
        <v>5124</v>
      </c>
      <c r="B95" s="7" t="s">
        <v>484</v>
      </c>
      <c r="C95" s="5"/>
      <c r="D95" s="5" t="s">
        <v>104</v>
      </c>
      <c r="E95" s="5" t="s">
        <v>259</v>
      </c>
    </row>
    <row r="96" spans="1:7" ht="13.5" hidden="1">
      <c r="A96" s="6">
        <v>4249</v>
      </c>
      <c r="B96" s="5"/>
      <c r="C96" s="5"/>
      <c r="D96" s="5" t="s">
        <v>54</v>
      </c>
      <c r="E96" s="5" t="s">
        <v>351</v>
      </c>
      <c r="F96" s="2" t="s">
        <v>1</v>
      </c>
      <c r="G96" s="2" t="s">
        <v>34</v>
      </c>
    </row>
    <row r="97" spans="1:7" ht="13.5">
      <c r="A97" s="6">
        <v>4746</v>
      </c>
      <c r="B97" s="5"/>
      <c r="C97" s="5"/>
      <c r="D97" s="5" t="s">
        <v>103</v>
      </c>
      <c r="E97" s="7" t="s">
        <v>293</v>
      </c>
    </row>
    <row r="98" spans="1:7" ht="13.5" hidden="1">
      <c r="A98" s="6">
        <v>4226</v>
      </c>
      <c r="B98" s="5"/>
      <c r="C98" s="5"/>
      <c r="D98" s="5" t="s">
        <v>349</v>
      </c>
      <c r="E98" s="5" t="s">
        <v>350</v>
      </c>
    </row>
    <row r="99" spans="1:7" ht="13.5">
      <c r="A99" s="6">
        <v>4637</v>
      </c>
      <c r="B99" s="7" t="s">
        <v>464</v>
      </c>
      <c r="C99" s="5"/>
      <c r="D99" s="15" t="s">
        <v>347</v>
      </c>
      <c r="E99" s="5" t="s">
        <v>348</v>
      </c>
    </row>
    <row r="100" spans="1:7" ht="13.5">
      <c r="A100" s="6">
        <v>4638</v>
      </c>
      <c r="B100" s="7" t="s">
        <v>454</v>
      </c>
      <c r="C100" s="5"/>
      <c r="D100" s="15" t="s">
        <v>101</v>
      </c>
      <c r="E100" s="5" t="s">
        <v>102</v>
      </c>
    </row>
    <row r="101" spans="1:7" ht="13.5" hidden="1">
      <c r="A101" s="6">
        <v>4244</v>
      </c>
      <c r="B101" s="5"/>
      <c r="C101" s="5"/>
      <c r="D101" s="5" t="s">
        <v>52</v>
      </c>
      <c r="E101" s="5" t="s">
        <v>346</v>
      </c>
    </row>
    <row r="102" spans="1:7" ht="13.9">
      <c r="A102" s="6">
        <v>4810</v>
      </c>
      <c r="B102" s="5"/>
      <c r="C102" s="5"/>
      <c r="D102" s="5" t="s">
        <v>100</v>
      </c>
      <c r="E102" s="5" t="s">
        <v>235</v>
      </c>
      <c r="F102" s="25" t="s">
        <v>0</v>
      </c>
    </row>
    <row r="103" spans="1:7" ht="13.9">
      <c r="A103" s="6">
        <v>5114</v>
      </c>
      <c r="B103" s="5"/>
      <c r="C103" s="5"/>
      <c r="D103" s="5" t="s">
        <v>237</v>
      </c>
      <c r="E103" s="5" t="s">
        <v>238</v>
      </c>
      <c r="F103" s="25" t="s">
        <v>0</v>
      </c>
    </row>
    <row r="104" spans="1:7" ht="13.9">
      <c r="A104" s="6" t="s">
        <v>318</v>
      </c>
      <c r="B104" s="5"/>
      <c r="C104" s="5"/>
      <c r="D104" s="5" t="s">
        <v>97</v>
      </c>
      <c r="E104" s="5" t="s">
        <v>98</v>
      </c>
      <c r="F104" s="25" t="s">
        <v>0</v>
      </c>
    </row>
    <row r="105" spans="1:7" ht="13.5">
      <c r="A105" s="6">
        <v>4475</v>
      </c>
      <c r="B105" s="5"/>
      <c r="C105" s="5"/>
      <c r="D105" s="5" t="s">
        <v>95</v>
      </c>
      <c r="E105" s="5" t="s">
        <v>96</v>
      </c>
      <c r="F105" s="2" t="s">
        <v>2</v>
      </c>
      <c r="G105" s="2" t="s">
        <v>17</v>
      </c>
    </row>
    <row r="106" spans="1:7" ht="13.5">
      <c r="A106" s="6">
        <v>4263</v>
      </c>
      <c r="B106" s="5"/>
      <c r="C106" s="5"/>
      <c r="D106" s="5" t="s">
        <v>49</v>
      </c>
      <c r="E106" s="5" t="s">
        <v>345</v>
      </c>
      <c r="F106" s="2" t="s">
        <v>1</v>
      </c>
      <c r="G106" s="2" t="s">
        <v>10</v>
      </c>
    </row>
    <row r="107" spans="1:7" ht="13.5">
      <c r="A107" s="6">
        <v>5266</v>
      </c>
      <c r="B107" s="7" t="s">
        <v>501</v>
      </c>
      <c r="C107" s="7" t="s">
        <v>502</v>
      </c>
      <c r="D107" s="29" t="s">
        <v>503</v>
      </c>
      <c r="E107" s="5" t="s">
        <v>253</v>
      </c>
    </row>
    <row r="108" spans="1:7" ht="13.5">
      <c r="A108" s="6">
        <v>5369</v>
      </c>
      <c r="B108" s="7" t="s">
        <v>501</v>
      </c>
      <c r="C108" s="5"/>
      <c r="D108" s="29" t="s">
        <v>504</v>
      </c>
      <c r="E108" s="5" t="s">
        <v>252</v>
      </c>
    </row>
    <row r="109" spans="1:7" ht="13.5">
      <c r="A109" s="6">
        <v>5345</v>
      </c>
      <c r="B109" s="5"/>
      <c r="C109" s="5"/>
      <c r="D109" s="5" t="s">
        <v>505</v>
      </c>
      <c r="E109" s="5" t="s">
        <v>231</v>
      </c>
      <c r="F109" s="2" t="s">
        <v>1</v>
      </c>
      <c r="G109" s="2" t="s">
        <v>22</v>
      </c>
    </row>
    <row r="110" spans="1:7" ht="13.5">
      <c r="A110" s="6">
        <v>4481</v>
      </c>
      <c r="B110" s="5"/>
      <c r="C110" s="5"/>
      <c r="D110" s="5" t="s">
        <v>506</v>
      </c>
      <c r="E110" s="5" t="s">
        <v>507</v>
      </c>
      <c r="F110" s="2" t="s">
        <v>4</v>
      </c>
      <c r="G110" s="2" t="s">
        <v>13</v>
      </c>
    </row>
    <row r="111" spans="1:7" ht="13.5">
      <c r="A111" s="6">
        <v>4235</v>
      </c>
      <c r="B111" s="5"/>
      <c r="C111" s="5"/>
      <c r="D111" s="5" t="s">
        <v>46</v>
      </c>
      <c r="E111" s="5" t="s">
        <v>344</v>
      </c>
    </row>
    <row r="112" spans="1:7" ht="13.9">
      <c r="A112" s="6">
        <v>4721</v>
      </c>
      <c r="B112" s="7" t="s">
        <v>508</v>
      </c>
      <c r="C112" s="5"/>
      <c r="D112" s="5" t="s">
        <v>83</v>
      </c>
      <c r="E112" s="5" t="s">
        <v>84</v>
      </c>
      <c r="F112" s="25" t="s">
        <v>0</v>
      </c>
    </row>
    <row r="113" spans="1:7" ht="13.5">
      <c r="A113" s="6">
        <v>4723</v>
      </c>
      <c r="B113" s="7" t="s">
        <v>508</v>
      </c>
      <c r="C113" s="5"/>
      <c r="D113" s="5" t="s">
        <v>79</v>
      </c>
      <c r="E113" s="5" t="s">
        <v>80</v>
      </c>
    </row>
    <row r="114" spans="1:7" ht="13.5">
      <c r="A114" s="6">
        <v>4678</v>
      </c>
      <c r="B114" s="5"/>
      <c r="C114" s="5"/>
      <c r="D114" s="5" t="s">
        <v>76</v>
      </c>
      <c r="E114" s="5" t="s">
        <v>77</v>
      </c>
    </row>
    <row r="115" spans="1:7" ht="13.5" hidden="1">
      <c r="A115" s="6">
        <v>4241</v>
      </c>
      <c r="B115" s="5"/>
      <c r="C115" s="5"/>
      <c r="D115" s="5" t="s">
        <v>43</v>
      </c>
      <c r="E115" s="5" t="s">
        <v>339</v>
      </c>
    </row>
    <row r="116" spans="1:7" ht="13.5">
      <c r="A116" s="6">
        <v>4480</v>
      </c>
      <c r="B116" s="5"/>
      <c r="C116" s="5"/>
      <c r="D116" s="5" t="s">
        <v>74</v>
      </c>
      <c r="E116" s="5" t="s">
        <v>75</v>
      </c>
    </row>
    <row r="117" spans="1:7" ht="13.5" hidden="1">
      <c r="A117" s="6">
        <v>4242</v>
      </c>
      <c r="B117" s="5"/>
      <c r="C117" s="5"/>
      <c r="D117" s="5" t="s">
        <v>38</v>
      </c>
      <c r="E117" s="5" t="s">
        <v>338</v>
      </c>
    </row>
    <row r="118" spans="1:7" ht="13.5" hidden="1">
      <c r="A118" s="6">
        <v>4233</v>
      </c>
      <c r="B118" s="5"/>
      <c r="C118" s="5"/>
      <c r="D118" s="5" t="s">
        <v>55</v>
      </c>
      <c r="E118" s="5" t="s">
        <v>337</v>
      </c>
    </row>
    <row r="119" spans="1:7" ht="13.5" hidden="1">
      <c r="A119" s="6">
        <v>4232</v>
      </c>
      <c r="B119" s="5"/>
      <c r="C119" s="5"/>
      <c r="D119" s="5" t="s">
        <v>51</v>
      </c>
      <c r="E119" s="5" t="s">
        <v>336</v>
      </c>
    </row>
    <row r="120" spans="1:7" ht="13.5">
      <c r="A120" s="6">
        <v>4680</v>
      </c>
      <c r="B120" s="5"/>
      <c r="C120" s="5"/>
      <c r="D120" s="5" t="s">
        <v>71</v>
      </c>
      <c r="E120" s="5" t="s">
        <v>72</v>
      </c>
    </row>
    <row r="121" spans="1:7" ht="13.9">
      <c r="A121" s="6">
        <v>5165</v>
      </c>
      <c r="B121" s="7" t="s">
        <v>481</v>
      </c>
      <c r="C121" s="5"/>
      <c r="D121" s="26" t="s">
        <v>509</v>
      </c>
      <c r="E121" s="5" t="s">
        <v>222</v>
      </c>
      <c r="F121" s="25" t="s">
        <v>0</v>
      </c>
      <c r="G121" s="2" t="s">
        <v>21</v>
      </c>
    </row>
    <row r="122" spans="1:7" ht="13.9">
      <c r="A122" s="6">
        <v>5162</v>
      </c>
      <c r="B122" s="7" t="s">
        <v>481</v>
      </c>
      <c r="C122" s="5"/>
      <c r="D122" s="26" t="s">
        <v>510</v>
      </c>
      <c r="E122" s="5" t="s">
        <v>224</v>
      </c>
      <c r="F122" s="25" t="s">
        <v>0</v>
      </c>
      <c r="G122" s="2" t="s">
        <v>21</v>
      </c>
    </row>
    <row r="123" spans="1:7" ht="13.5" hidden="1">
      <c r="A123" s="6">
        <v>4224</v>
      </c>
      <c r="B123" s="5"/>
      <c r="C123" s="5"/>
      <c r="D123" s="5" t="s">
        <v>50</v>
      </c>
      <c r="E123" s="5" t="s">
        <v>335</v>
      </c>
      <c r="F123" s="2" t="s">
        <v>1</v>
      </c>
      <c r="G123" s="2" t="s">
        <v>16</v>
      </c>
    </row>
    <row r="124" spans="1:7" ht="13.5" hidden="1">
      <c r="A124" s="6">
        <v>4260</v>
      </c>
      <c r="B124" s="5"/>
      <c r="C124" s="5"/>
      <c r="D124" s="5" t="s">
        <v>45</v>
      </c>
      <c r="E124" s="5" t="s">
        <v>334</v>
      </c>
      <c r="F124" s="2" t="s">
        <v>1</v>
      </c>
      <c r="G124" s="2" t="s">
        <v>16</v>
      </c>
    </row>
    <row r="125" spans="1:7" ht="13.5" hidden="1">
      <c r="A125" s="6">
        <v>4264</v>
      </c>
      <c r="B125" s="5"/>
      <c r="C125" s="5"/>
      <c r="D125" s="5" t="s">
        <v>59</v>
      </c>
      <c r="E125" s="5" t="s">
        <v>333</v>
      </c>
      <c r="F125" s="2" t="s">
        <v>446</v>
      </c>
    </row>
    <row r="126" spans="1:7" ht="13.5">
      <c r="A126" s="6">
        <v>4698</v>
      </c>
      <c r="B126" s="5"/>
      <c r="C126" s="5"/>
      <c r="D126" s="5" t="s">
        <v>413</v>
      </c>
      <c r="E126" s="5" t="s">
        <v>152</v>
      </c>
    </row>
    <row r="127" spans="1:7" ht="13.5">
      <c r="A127" s="6">
        <v>4510</v>
      </c>
      <c r="B127" s="7" t="s">
        <v>481</v>
      </c>
      <c r="C127" s="5"/>
      <c r="D127" s="30" t="s">
        <v>67</v>
      </c>
      <c r="E127" s="5" t="s">
        <v>68</v>
      </c>
    </row>
    <row r="128" spans="1:7" ht="13.5">
      <c r="A128" s="6">
        <v>4767</v>
      </c>
      <c r="B128" s="7" t="s">
        <v>481</v>
      </c>
      <c r="C128" s="5"/>
      <c r="D128" s="30" t="s">
        <v>277</v>
      </c>
      <c r="E128" s="5" t="s">
        <v>511</v>
      </c>
    </row>
    <row r="129" spans="1:5" ht="13.5">
      <c r="A129" s="6">
        <v>5253</v>
      </c>
      <c r="B129" s="5"/>
      <c r="C129" s="5"/>
      <c r="D129" s="5" t="s">
        <v>512</v>
      </c>
      <c r="E129" s="5" t="s">
        <v>513</v>
      </c>
    </row>
    <row r="130" spans="1:5" ht="13.5">
      <c r="A130" s="6">
        <v>4667</v>
      </c>
      <c r="B130" s="7" t="s">
        <v>481</v>
      </c>
      <c r="C130" s="5"/>
      <c r="D130" s="30" t="s">
        <v>514</v>
      </c>
      <c r="E130" s="5" t="s">
        <v>109</v>
      </c>
    </row>
    <row r="131" spans="1:5" ht="13.5">
      <c r="A131" s="6">
        <v>4668</v>
      </c>
      <c r="B131" s="7" t="s">
        <v>481</v>
      </c>
      <c r="C131" s="5"/>
      <c r="D131" s="30" t="s">
        <v>515</v>
      </c>
      <c r="E131" s="5" t="s">
        <v>243</v>
      </c>
    </row>
    <row r="132" spans="1:5" ht="13.5">
      <c r="A132" s="6">
        <v>5897</v>
      </c>
      <c r="B132" s="7"/>
      <c r="C132" s="7" t="s">
        <v>516</v>
      </c>
      <c r="D132" s="31" t="s">
        <v>517</v>
      </c>
      <c r="E132" s="5" t="s">
        <v>518</v>
      </c>
    </row>
    <row r="133" spans="1:5" ht="13.5">
      <c r="A133" s="6">
        <v>5900</v>
      </c>
      <c r="B133" s="7"/>
      <c r="C133" s="5"/>
      <c r="D133" s="31" t="s">
        <v>519</v>
      </c>
      <c r="E133" s="5" t="s">
        <v>520</v>
      </c>
    </row>
    <row r="134" spans="1:5" ht="13.5">
      <c r="A134" s="6">
        <v>4886</v>
      </c>
      <c r="B134" s="7" t="s">
        <v>481</v>
      </c>
      <c r="C134" s="5"/>
      <c r="D134" s="22" t="s">
        <v>66</v>
      </c>
      <c r="E134" s="5" t="s">
        <v>282</v>
      </c>
    </row>
    <row r="135" spans="1:5" ht="13.5">
      <c r="A135" s="6">
        <v>4885</v>
      </c>
      <c r="B135" s="7" t="s">
        <v>481</v>
      </c>
      <c r="C135" s="5"/>
      <c r="D135" s="22" t="s">
        <v>65</v>
      </c>
      <c r="E135" s="5" t="s">
        <v>281</v>
      </c>
    </row>
    <row r="136" spans="1:5" ht="13.5">
      <c r="A136" s="6">
        <v>4769</v>
      </c>
      <c r="B136" s="7" t="s">
        <v>481</v>
      </c>
      <c r="C136" s="5"/>
      <c r="D136" s="22" t="s">
        <v>275</v>
      </c>
      <c r="E136" s="5" t="s">
        <v>521</v>
      </c>
    </row>
    <row r="137" spans="1:5" ht="13.5">
      <c r="A137" s="6">
        <v>4507</v>
      </c>
      <c r="B137" s="7" t="s">
        <v>481</v>
      </c>
      <c r="C137" s="5"/>
      <c r="D137" s="22" t="s">
        <v>63</v>
      </c>
      <c r="E137" s="5" t="s">
        <v>522</v>
      </c>
    </row>
    <row r="138" spans="1:5" ht="13.5">
      <c r="A138" s="6">
        <v>4709</v>
      </c>
      <c r="B138" s="7" t="s">
        <v>523</v>
      </c>
      <c r="C138" s="5"/>
      <c r="D138" s="5" t="s">
        <v>193</v>
      </c>
      <c r="E138" s="5" t="s">
        <v>194</v>
      </c>
    </row>
    <row r="139" spans="1:5" ht="13.5">
      <c r="A139" s="6">
        <v>4711</v>
      </c>
      <c r="B139" s="5"/>
      <c r="C139" s="5"/>
      <c r="D139" s="5" t="s">
        <v>189</v>
      </c>
      <c r="E139" s="5" t="s">
        <v>190</v>
      </c>
    </row>
    <row r="140" spans="1:5" ht="13.5">
      <c r="A140" s="6">
        <v>4719</v>
      </c>
      <c r="B140" s="7" t="s">
        <v>524</v>
      </c>
      <c r="C140" s="5"/>
      <c r="D140" s="5" t="s">
        <v>186</v>
      </c>
      <c r="E140" s="5" t="s">
        <v>187</v>
      </c>
    </row>
    <row r="141" spans="1:5" ht="13.5">
      <c r="A141" s="6">
        <v>4716</v>
      </c>
      <c r="B141" s="7"/>
      <c r="C141" s="7" t="s">
        <v>525</v>
      </c>
      <c r="D141" s="7" t="s">
        <v>526</v>
      </c>
      <c r="E141" s="5" t="s">
        <v>185</v>
      </c>
    </row>
    <row r="142" spans="1:5" ht="13.5">
      <c r="A142" s="6">
        <v>5885</v>
      </c>
      <c r="B142" s="5"/>
      <c r="C142" s="7" t="s">
        <v>527</v>
      </c>
      <c r="D142" s="5" t="s">
        <v>372</v>
      </c>
      <c r="E142" s="5" t="s">
        <v>373</v>
      </c>
    </row>
    <row r="143" spans="1:5" ht="13.5">
      <c r="A143" s="6">
        <v>5653</v>
      </c>
      <c r="B143" s="7" t="s">
        <v>528</v>
      </c>
      <c r="C143" s="5"/>
      <c r="D143" s="5" t="s">
        <v>529</v>
      </c>
      <c r="E143" s="5" t="s">
        <v>126</v>
      </c>
    </row>
    <row r="144" spans="1:5" ht="13.5">
      <c r="A144" s="6">
        <v>5159</v>
      </c>
      <c r="B144" s="7" t="s">
        <v>530</v>
      </c>
      <c r="C144" s="5"/>
      <c r="D144" s="5" t="s">
        <v>99</v>
      </c>
      <c r="E144" s="5" t="s">
        <v>236</v>
      </c>
    </row>
    <row r="145" spans="1:6" ht="13.5">
      <c r="A145" s="6">
        <v>4650</v>
      </c>
      <c r="B145" s="7" t="s">
        <v>451</v>
      </c>
      <c r="C145" s="5"/>
      <c r="D145" s="15" t="s">
        <v>92</v>
      </c>
      <c r="E145" s="5" t="s">
        <v>91</v>
      </c>
    </row>
    <row r="146" spans="1:6" ht="13.5">
      <c r="A146" s="6">
        <v>4651</v>
      </c>
      <c r="B146" s="7" t="s">
        <v>531</v>
      </c>
      <c r="C146" s="5"/>
      <c r="D146" s="15" t="s">
        <v>90</v>
      </c>
      <c r="E146" s="5" t="s">
        <v>91</v>
      </c>
    </row>
    <row r="147" spans="1:6" ht="13.5">
      <c r="A147" s="6">
        <v>4705</v>
      </c>
      <c r="B147" s="7" t="s">
        <v>530</v>
      </c>
      <c r="C147" s="7" t="s">
        <v>532</v>
      </c>
      <c r="D147" s="5" t="s">
        <v>85</v>
      </c>
      <c r="E147" s="5" t="s">
        <v>533</v>
      </c>
    </row>
    <row r="148" spans="1:6" ht="13.5">
      <c r="A148" s="6">
        <v>4707</v>
      </c>
      <c r="B148" s="7" t="s">
        <v>530</v>
      </c>
      <c r="C148" s="5"/>
      <c r="D148" s="5" t="s">
        <v>81</v>
      </c>
      <c r="E148" s="5" t="s">
        <v>234</v>
      </c>
    </row>
    <row r="149" spans="1:6" ht="13.5">
      <c r="A149" s="6">
        <v>5850</v>
      </c>
      <c r="B149" s="5"/>
      <c r="C149" s="7" t="s">
        <v>525</v>
      </c>
      <c r="D149" s="17" t="s">
        <v>342</v>
      </c>
      <c r="E149" s="5" t="s">
        <v>343</v>
      </c>
    </row>
    <row r="150" spans="1:6" ht="13.5">
      <c r="A150" s="6">
        <v>5849</v>
      </c>
      <c r="B150" s="5"/>
      <c r="C150" s="7" t="s">
        <v>525</v>
      </c>
      <c r="D150" s="17" t="s">
        <v>340</v>
      </c>
      <c r="E150" s="5" t="s">
        <v>341</v>
      </c>
    </row>
    <row r="151" spans="1:6" ht="13.5">
      <c r="A151" s="6">
        <v>5168</v>
      </c>
      <c r="B151" s="5"/>
      <c r="C151" s="5"/>
      <c r="D151" s="5" t="s">
        <v>78</v>
      </c>
      <c r="E151" s="5" t="s">
        <v>221</v>
      </c>
    </row>
    <row r="152" spans="1:6" ht="13.9">
      <c r="A152" s="6">
        <v>4873</v>
      </c>
      <c r="B152" s="5"/>
      <c r="C152" s="5"/>
      <c r="D152" s="5" t="s">
        <v>421</v>
      </c>
      <c r="E152" s="5" t="s">
        <v>534</v>
      </c>
      <c r="F152" s="25" t="s">
        <v>0</v>
      </c>
    </row>
    <row r="153" spans="1:6" ht="13.5">
      <c r="A153" s="6">
        <v>5629</v>
      </c>
      <c r="B153" s="7" t="s">
        <v>464</v>
      </c>
      <c r="C153" s="5"/>
      <c r="D153" s="5" t="s">
        <v>535</v>
      </c>
      <c r="E153" s="5" t="s">
        <v>332</v>
      </c>
    </row>
    <row r="154" spans="1:6" ht="13.5">
      <c r="A154" s="6">
        <v>4671</v>
      </c>
      <c r="B154" s="7" t="s">
        <v>481</v>
      </c>
      <c r="C154" s="7" t="s">
        <v>536</v>
      </c>
      <c r="D154" s="32" t="s">
        <v>537</v>
      </c>
      <c r="E154" s="5" t="s">
        <v>352</v>
      </c>
    </row>
    <row r="155" spans="1:6" ht="13.5">
      <c r="A155" s="6">
        <v>4672</v>
      </c>
      <c r="B155" s="7" t="s">
        <v>481</v>
      </c>
      <c r="C155" s="5"/>
      <c r="D155" s="32" t="s">
        <v>538</v>
      </c>
      <c r="E155" s="5" t="s">
        <v>247</v>
      </c>
    </row>
    <row r="156" spans="1:6" ht="13.5">
      <c r="A156" s="6">
        <v>4670</v>
      </c>
      <c r="B156" s="7" t="s">
        <v>481</v>
      </c>
      <c r="C156" s="5"/>
      <c r="D156" s="32" t="s">
        <v>539</v>
      </c>
      <c r="E156" s="5" t="s">
        <v>245</v>
      </c>
    </row>
    <row r="157" spans="1:6" ht="13.5">
      <c r="A157" s="6">
        <v>5627</v>
      </c>
      <c r="B157" s="5"/>
      <c r="C157" s="5"/>
      <c r="D157" s="33" t="s">
        <v>420</v>
      </c>
      <c r="E157" s="5" t="s">
        <v>540</v>
      </c>
    </row>
    <row r="158" spans="1:6" ht="13.5">
      <c r="A158" s="6">
        <v>5625</v>
      </c>
      <c r="B158" s="5"/>
      <c r="C158" s="5"/>
      <c r="D158" s="33" t="s">
        <v>322</v>
      </c>
      <c r="E158" s="5" t="s">
        <v>541</v>
      </c>
    </row>
    <row r="159" spans="1:6" ht="13.5">
      <c r="A159" s="6">
        <v>5631</v>
      </c>
      <c r="B159" s="5"/>
      <c r="C159" s="5"/>
      <c r="D159" s="33" t="s">
        <v>318</v>
      </c>
      <c r="E159" s="5" t="s">
        <v>542</v>
      </c>
    </row>
    <row r="160" spans="1:6" ht="13.5">
      <c r="A160" s="6">
        <v>4550</v>
      </c>
      <c r="B160" s="5"/>
      <c r="C160" s="5"/>
      <c r="D160" s="5" t="s">
        <v>69</v>
      </c>
      <c r="E160" s="5" t="s">
        <v>70</v>
      </c>
    </row>
    <row r="161" spans="1:5" ht="13.5">
      <c r="A161" s="6">
        <v>4768</v>
      </c>
      <c r="B161" s="5"/>
      <c r="C161" s="5"/>
      <c r="D161" s="5" t="s">
        <v>283</v>
      </c>
      <c r="E161" s="5" t="s">
        <v>284</v>
      </c>
    </row>
    <row r="162" spans="1:5" ht="13.5">
      <c r="A162" s="6">
        <v>4832</v>
      </c>
      <c r="B162" s="5"/>
      <c r="C162" s="5"/>
      <c r="D162" s="5" t="s">
        <v>543</v>
      </c>
      <c r="E162" s="5" t="s">
        <v>287</v>
      </c>
    </row>
    <row r="163" spans="1:5" ht="13.5">
      <c r="A163" s="6">
        <v>4833</v>
      </c>
      <c r="B163" s="5"/>
      <c r="C163" s="5"/>
      <c r="D163" s="5" t="s">
        <v>544</v>
      </c>
      <c r="E163" s="5" t="s">
        <v>286</v>
      </c>
    </row>
    <row r="164" spans="1:5" ht="13.5">
      <c r="A164" s="6">
        <v>4676</v>
      </c>
      <c r="B164" s="5"/>
      <c r="C164" s="5"/>
      <c r="D164" s="5" t="s">
        <v>545</v>
      </c>
      <c r="E164" s="5" t="s">
        <v>106</v>
      </c>
    </row>
    <row r="165" spans="1:5" ht="13.5" hidden="1">
      <c r="A165" s="6">
        <v>4239</v>
      </c>
      <c r="B165" s="5"/>
      <c r="C165" s="5"/>
      <c r="D165" s="5" t="s">
        <v>41</v>
      </c>
      <c r="E165" s="5" t="s">
        <v>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693"/>
  <sheetViews>
    <sheetView workbookViewId="0"/>
  </sheetViews>
  <sheetFormatPr defaultColWidth="12.59765625" defaultRowHeight="15.75" customHeight="1"/>
  <sheetData>
    <row r="1" spans="1:8" ht="12.75">
      <c r="A1" s="34" t="s">
        <v>546</v>
      </c>
      <c r="B1" s="34" t="s">
        <v>547</v>
      </c>
      <c r="C1" s="34" t="s">
        <v>548</v>
      </c>
      <c r="D1" s="34" t="s">
        <v>549</v>
      </c>
      <c r="E1" s="34" t="s">
        <v>550</v>
      </c>
      <c r="F1" s="34" t="s">
        <v>551</v>
      </c>
      <c r="G1" s="34" t="s">
        <v>552</v>
      </c>
      <c r="H1" s="34" t="s">
        <v>553</v>
      </c>
    </row>
    <row r="2" spans="1:8" ht="15.75" customHeight="1">
      <c r="A2" s="9">
        <v>45673</v>
      </c>
      <c r="B2" s="9" t="s">
        <v>193</v>
      </c>
      <c r="C2" s="35">
        <v>46058</v>
      </c>
      <c r="D2" s="35">
        <v>46211</v>
      </c>
      <c r="E2" s="9">
        <v>1404</v>
      </c>
      <c r="F2" s="9">
        <v>192.6</v>
      </c>
      <c r="G2" s="9" t="s">
        <v>554</v>
      </c>
      <c r="H2" s="9" t="s">
        <v>555</v>
      </c>
    </row>
    <row r="3" spans="1:8" ht="15.75" customHeight="1">
      <c r="A3" s="9">
        <v>45673</v>
      </c>
      <c r="B3" s="9" t="s">
        <v>193</v>
      </c>
      <c r="C3" s="36">
        <v>46052</v>
      </c>
      <c r="D3" s="35">
        <v>46090</v>
      </c>
      <c r="E3" s="9">
        <v>1381</v>
      </c>
      <c r="F3" s="9">
        <v>370.83</v>
      </c>
      <c r="G3" s="9" t="s">
        <v>554</v>
      </c>
      <c r="H3" s="9" t="s">
        <v>555</v>
      </c>
    </row>
    <row r="4" spans="1:8" ht="15.75" customHeight="1">
      <c r="A4" s="9">
        <v>45673</v>
      </c>
      <c r="B4" s="9" t="s">
        <v>193</v>
      </c>
      <c r="C4" s="36">
        <v>46048</v>
      </c>
      <c r="D4" s="35">
        <v>46060</v>
      </c>
      <c r="E4" s="9">
        <v>1374</v>
      </c>
      <c r="F4" s="9">
        <v>185.56</v>
      </c>
      <c r="G4" s="9" t="s">
        <v>554</v>
      </c>
      <c r="H4" s="9" t="s">
        <v>555</v>
      </c>
    </row>
    <row r="5" spans="1:8" ht="15.75" customHeight="1">
      <c r="A5" s="9">
        <v>45673</v>
      </c>
      <c r="B5" s="9" t="s">
        <v>193</v>
      </c>
      <c r="C5" s="36">
        <v>46041</v>
      </c>
      <c r="D5" s="36">
        <v>46281</v>
      </c>
      <c r="E5" s="9">
        <v>1338</v>
      </c>
      <c r="F5" s="9">
        <v>384.91</v>
      </c>
      <c r="G5" s="9" t="s">
        <v>554</v>
      </c>
      <c r="H5" s="9" t="s">
        <v>555</v>
      </c>
    </row>
    <row r="6" spans="1:8" ht="15.75" customHeight="1">
      <c r="A6" s="9">
        <v>45673</v>
      </c>
      <c r="B6" s="9" t="s">
        <v>193</v>
      </c>
      <c r="C6" s="36">
        <v>46035</v>
      </c>
      <c r="D6" s="36">
        <v>46037</v>
      </c>
      <c r="E6" s="9">
        <v>1300</v>
      </c>
      <c r="F6" s="9">
        <v>741.36</v>
      </c>
      <c r="G6" s="9" t="s">
        <v>554</v>
      </c>
      <c r="H6" s="9" t="s">
        <v>555</v>
      </c>
    </row>
    <row r="7" spans="1:8" ht="15.75" customHeight="1">
      <c r="A7" s="9">
        <v>45673</v>
      </c>
      <c r="B7" s="9" t="s">
        <v>193</v>
      </c>
      <c r="C7" s="35">
        <v>45962</v>
      </c>
      <c r="D7" s="35">
        <v>45964</v>
      </c>
      <c r="E7" s="9">
        <v>1027</v>
      </c>
      <c r="F7" s="9">
        <v>741.36</v>
      </c>
      <c r="G7" s="9" t="s">
        <v>554</v>
      </c>
      <c r="H7" s="9" t="s">
        <v>555</v>
      </c>
    </row>
    <row r="8" spans="1:8" ht="15.75" customHeight="1">
      <c r="A8" s="9">
        <v>45673</v>
      </c>
      <c r="B8" s="9" t="s">
        <v>193</v>
      </c>
      <c r="C8" s="36">
        <v>45953</v>
      </c>
      <c r="D8" s="36">
        <v>45961</v>
      </c>
      <c r="E8" s="9">
        <v>998</v>
      </c>
      <c r="F8" s="9">
        <v>185.56</v>
      </c>
      <c r="G8" s="9" t="s">
        <v>554</v>
      </c>
      <c r="H8" s="9" t="s">
        <v>555</v>
      </c>
    </row>
    <row r="9" spans="1:8" ht="15.75" customHeight="1">
      <c r="A9" s="9">
        <v>45673</v>
      </c>
      <c r="B9" s="9" t="s">
        <v>193</v>
      </c>
      <c r="C9" s="36">
        <v>45943</v>
      </c>
      <c r="D9" s="36">
        <v>45961</v>
      </c>
      <c r="E9" s="9">
        <v>926</v>
      </c>
      <c r="F9" s="9">
        <v>370.83</v>
      </c>
      <c r="G9" s="9" t="s">
        <v>554</v>
      </c>
      <c r="H9" s="9" t="s">
        <v>555</v>
      </c>
    </row>
    <row r="10" spans="1:8" ht="15.75" customHeight="1">
      <c r="A10" s="9">
        <v>45673</v>
      </c>
      <c r="B10" s="9" t="s">
        <v>193</v>
      </c>
      <c r="C10" s="35">
        <v>45934</v>
      </c>
      <c r="D10" s="36">
        <v>45940</v>
      </c>
      <c r="E10" s="9">
        <v>884</v>
      </c>
      <c r="F10" s="9">
        <v>182.43</v>
      </c>
      <c r="G10" s="9" t="s">
        <v>554</v>
      </c>
      <c r="H10" s="9" t="s">
        <v>555</v>
      </c>
    </row>
    <row r="11" spans="1:8" ht="15.75" customHeight="1">
      <c r="A11" s="9">
        <v>123</v>
      </c>
      <c r="B11" s="9" t="s">
        <v>193</v>
      </c>
      <c r="C11" s="36">
        <v>45880</v>
      </c>
      <c r="D11" s="35">
        <v>45967</v>
      </c>
      <c r="E11" s="9">
        <v>603</v>
      </c>
      <c r="F11" s="9">
        <v>370.83</v>
      </c>
      <c r="G11" s="9" t="s">
        <v>554</v>
      </c>
      <c r="H11" s="9" t="s">
        <v>555</v>
      </c>
    </row>
    <row r="12" spans="1:8" ht="15.75" customHeight="1">
      <c r="A12" s="9">
        <v>123</v>
      </c>
      <c r="B12" s="9" t="s">
        <v>193</v>
      </c>
      <c r="C12" s="36">
        <v>45862</v>
      </c>
      <c r="D12" s="36">
        <v>45868</v>
      </c>
      <c r="E12" s="9">
        <v>497</v>
      </c>
      <c r="F12" s="9">
        <v>151.9</v>
      </c>
      <c r="G12" s="9" t="s">
        <v>554</v>
      </c>
      <c r="H12" s="9" t="s">
        <v>555</v>
      </c>
    </row>
    <row r="13" spans="1:8" ht="15.75" customHeight="1">
      <c r="A13" s="9">
        <v>123</v>
      </c>
      <c r="B13" s="9" t="s">
        <v>193</v>
      </c>
      <c r="C13" s="36">
        <v>45838</v>
      </c>
      <c r="D13" s="36">
        <v>45855</v>
      </c>
      <c r="E13" s="9">
        <v>306</v>
      </c>
      <c r="F13" s="9">
        <v>151.68</v>
      </c>
      <c r="G13" s="9" t="s">
        <v>554</v>
      </c>
      <c r="H13" s="9" t="s">
        <v>555</v>
      </c>
    </row>
    <row r="14" spans="1:8" ht="15.75" customHeight="1">
      <c r="A14" s="37" t="s">
        <v>398</v>
      </c>
      <c r="B14" s="38">
        <v>11</v>
      </c>
      <c r="C14" s="37"/>
      <c r="D14" s="37"/>
      <c r="E14" s="37"/>
      <c r="F14" s="38">
        <v>4029.85</v>
      </c>
      <c r="G14" s="37"/>
      <c r="H14" s="37"/>
    </row>
    <row r="15" spans="1:8" ht="15.75" customHeight="1">
      <c r="A15" s="9">
        <v>45673</v>
      </c>
      <c r="B15" s="9" t="s">
        <v>192</v>
      </c>
      <c r="C15" s="36">
        <v>46019</v>
      </c>
      <c r="D15" s="36">
        <v>46069</v>
      </c>
      <c r="E15" s="9">
        <v>1223</v>
      </c>
      <c r="F15" s="9">
        <v>474.33</v>
      </c>
      <c r="G15" s="9" t="s">
        <v>554</v>
      </c>
      <c r="H15" s="9" t="s">
        <v>555</v>
      </c>
    </row>
    <row r="16" spans="1:8" ht="15.75" customHeight="1">
      <c r="A16" s="9">
        <v>45673</v>
      </c>
      <c r="B16" s="9" t="s">
        <v>192</v>
      </c>
      <c r="C16" s="36">
        <v>46014</v>
      </c>
      <c r="D16" s="36">
        <v>46019</v>
      </c>
      <c r="E16" s="9">
        <v>1205</v>
      </c>
      <c r="F16" s="9">
        <v>399.16</v>
      </c>
      <c r="G16" s="9" t="s">
        <v>554</v>
      </c>
      <c r="H16" s="9" t="s">
        <v>555</v>
      </c>
    </row>
    <row r="17" spans="1:8" ht="15.75" customHeight="1">
      <c r="A17" s="9">
        <v>45673</v>
      </c>
      <c r="B17" s="9" t="s">
        <v>192</v>
      </c>
      <c r="C17" s="36">
        <v>45991</v>
      </c>
      <c r="D17" s="36">
        <v>46010</v>
      </c>
      <c r="E17" s="9">
        <v>1119</v>
      </c>
      <c r="F17" s="9">
        <v>608.88</v>
      </c>
      <c r="G17" s="9" t="s">
        <v>554</v>
      </c>
      <c r="H17" s="9" t="s">
        <v>555</v>
      </c>
    </row>
    <row r="18" spans="1:8" ht="15.75" customHeight="1">
      <c r="A18" s="9">
        <v>45673</v>
      </c>
      <c r="B18" s="9" t="s">
        <v>192</v>
      </c>
      <c r="C18" s="35">
        <v>45970</v>
      </c>
      <c r="D18" s="36">
        <v>45973</v>
      </c>
      <c r="E18" s="9">
        <v>1050</v>
      </c>
      <c r="F18" s="9">
        <v>598.59</v>
      </c>
      <c r="G18" s="9" t="s">
        <v>554</v>
      </c>
      <c r="H18" s="9" t="s">
        <v>555</v>
      </c>
    </row>
    <row r="19" spans="1:8" ht="15.75" customHeight="1">
      <c r="A19" s="9">
        <v>45673</v>
      </c>
      <c r="B19" s="9" t="s">
        <v>192</v>
      </c>
      <c r="C19" s="36">
        <v>45920</v>
      </c>
      <c r="D19" s="36">
        <v>45922</v>
      </c>
      <c r="E19" s="9">
        <v>817</v>
      </c>
      <c r="F19" s="9">
        <v>406.02</v>
      </c>
      <c r="G19" s="9" t="s">
        <v>554</v>
      </c>
      <c r="H19" s="9" t="s">
        <v>555</v>
      </c>
    </row>
    <row r="20" spans="1:8" ht="14.25">
      <c r="A20" s="9">
        <v>123</v>
      </c>
      <c r="B20" s="9" t="s">
        <v>192</v>
      </c>
      <c r="C20" s="36">
        <v>45916</v>
      </c>
      <c r="D20" s="36">
        <v>45942</v>
      </c>
      <c r="E20" s="9">
        <v>806</v>
      </c>
      <c r="F20" s="9">
        <v>637.25</v>
      </c>
      <c r="G20" s="9" t="s">
        <v>554</v>
      </c>
      <c r="H20" s="9" t="s">
        <v>555</v>
      </c>
    </row>
    <row r="21" spans="1:8" ht="14.25">
      <c r="A21" s="37" t="s">
        <v>398</v>
      </c>
      <c r="B21" s="38">
        <v>6</v>
      </c>
      <c r="C21" s="37"/>
      <c r="D21" s="37"/>
      <c r="E21" s="37"/>
      <c r="F21" s="38">
        <v>3124.23</v>
      </c>
      <c r="G21" s="37"/>
      <c r="H21" s="37"/>
    </row>
    <row r="22" spans="1:8" ht="14.25">
      <c r="A22" s="9">
        <v>45673</v>
      </c>
      <c r="B22" s="9" t="s">
        <v>421</v>
      </c>
      <c r="C22" s="35">
        <v>45904</v>
      </c>
      <c r="D22" s="35">
        <v>45999</v>
      </c>
      <c r="E22" s="9">
        <v>746</v>
      </c>
      <c r="F22" s="9">
        <v>942.15</v>
      </c>
      <c r="G22" s="9" t="s">
        <v>554</v>
      </c>
      <c r="H22" s="9" t="s">
        <v>555</v>
      </c>
    </row>
    <row r="23" spans="1:8" ht="14.25">
      <c r="A23" s="9">
        <v>123</v>
      </c>
      <c r="B23" s="9" t="s">
        <v>421</v>
      </c>
      <c r="C23" s="36">
        <v>45888</v>
      </c>
      <c r="D23" s="36">
        <v>45943</v>
      </c>
      <c r="E23" s="9">
        <v>654</v>
      </c>
      <c r="F23" s="9">
        <v>1413.07</v>
      </c>
      <c r="G23" s="9" t="s">
        <v>554</v>
      </c>
      <c r="H23" s="9" t="s">
        <v>555</v>
      </c>
    </row>
    <row r="24" spans="1:8" ht="14.25">
      <c r="A24" s="37" t="s">
        <v>398</v>
      </c>
      <c r="B24" s="38">
        <v>2</v>
      </c>
      <c r="C24" s="37"/>
      <c r="D24" s="37"/>
      <c r="E24" s="37"/>
      <c r="F24" s="38">
        <v>2355.2199999999998</v>
      </c>
      <c r="G24" s="37"/>
      <c r="H24" s="37"/>
    </row>
    <row r="25" spans="1:8" ht="14.25">
      <c r="A25" s="9">
        <v>45673</v>
      </c>
      <c r="B25" s="9" t="s">
        <v>407</v>
      </c>
      <c r="C25" s="36">
        <v>45954</v>
      </c>
      <c r="D25" s="36">
        <v>45956</v>
      </c>
      <c r="E25" s="9">
        <v>1000</v>
      </c>
      <c r="F25" s="9">
        <v>212.95</v>
      </c>
      <c r="G25" s="9" t="s">
        <v>554</v>
      </c>
      <c r="H25" s="9" t="s">
        <v>555</v>
      </c>
    </row>
    <row r="26" spans="1:8" ht="14.25">
      <c r="A26" s="9">
        <v>45673</v>
      </c>
      <c r="B26" s="9" t="s">
        <v>407</v>
      </c>
      <c r="C26" s="36">
        <v>45946</v>
      </c>
      <c r="D26" s="36">
        <v>45955</v>
      </c>
      <c r="E26" s="9">
        <v>950</v>
      </c>
      <c r="F26" s="9">
        <v>216.61</v>
      </c>
      <c r="G26" s="9" t="s">
        <v>554</v>
      </c>
      <c r="H26" s="9" t="s">
        <v>555</v>
      </c>
    </row>
    <row r="27" spans="1:8" ht="14.25">
      <c r="A27" s="9">
        <v>45673</v>
      </c>
      <c r="B27" s="9" t="s">
        <v>407</v>
      </c>
      <c r="C27" s="36">
        <v>45946</v>
      </c>
      <c r="D27" s="36">
        <v>45955</v>
      </c>
      <c r="E27" s="9">
        <v>949</v>
      </c>
      <c r="F27" s="9">
        <v>216.61</v>
      </c>
      <c r="G27" s="9" t="s">
        <v>554</v>
      </c>
      <c r="H27" s="9" t="s">
        <v>555</v>
      </c>
    </row>
    <row r="28" spans="1:8" ht="14.25">
      <c r="A28" s="9">
        <v>45673</v>
      </c>
      <c r="B28" s="9" t="s">
        <v>407</v>
      </c>
      <c r="C28" s="36">
        <v>45926</v>
      </c>
      <c r="D28" s="36">
        <v>45927</v>
      </c>
      <c r="E28" s="9">
        <v>838</v>
      </c>
      <c r="F28" s="9">
        <v>850.93</v>
      </c>
      <c r="G28" s="9" t="s">
        <v>554</v>
      </c>
      <c r="H28" s="9" t="s">
        <v>555</v>
      </c>
    </row>
    <row r="29" spans="1:8" ht="14.25">
      <c r="A29" s="9">
        <v>45673</v>
      </c>
      <c r="B29" s="9" t="s">
        <v>407</v>
      </c>
      <c r="C29" s="35">
        <v>45909</v>
      </c>
      <c r="D29" s="36">
        <v>45910</v>
      </c>
      <c r="E29" s="9">
        <v>771</v>
      </c>
      <c r="F29" s="9">
        <v>212.95</v>
      </c>
      <c r="G29" s="9" t="s">
        <v>554</v>
      </c>
      <c r="H29" s="9" t="s">
        <v>555</v>
      </c>
    </row>
    <row r="30" spans="1:8" ht="14.25">
      <c r="A30" s="9">
        <v>45673</v>
      </c>
      <c r="B30" s="9" t="s">
        <v>407</v>
      </c>
      <c r="C30" s="35">
        <v>45907</v>
      </c>
      <c r="D30" s="36">
        <v>45910</v>
      </c>
      <c r="E30" s="9">
        <v>763</v>
      </c>
      <c r="F30" s="9">
        <v>407.3</v>
      </c>
      <c r="G30" s="9" t="s">
        <v>554</v>
      </c>
      <c r="H30" s="9" t="s">
        <v>555</v>
      </c>
    </row>
    <row r="31" spans="1:8" ht="14.25">
      <c r="A31" s="9">
        <v>45673</v>
      </c>
      <c r="B31" s="9" t="s">
        <v>407</v>
      </c>
      <c r="C31" s="35">
        <v>45906</v>
      </c>
      <c r="D31" s="36">
        <v>45911</v>
      </c>
      <c r="E31" s="9">
        <v>756</v>
      </c>
      <c r="F31" s="9">
        <v>216.61</v>
      </c>
      <c r="G31" s="9" t="s">
        <v>554</v>
      </c>
      <c r="H31" s="9" t="s">
        <v>555</v>
      </c>
    </row>
    <row r="32" spans="1:8" ht="14.25">
      <c r="A32" s="9">
        <v>45673</v>
      </c>
      <c r="B32" s="9" t="s">
        <v>407</v>
      </c>
      <c r="C32" s="35">
        <v>45904</v>
      </c>
      <c r="D32" s="36">
        <v>45910</v>
      </c>
      <c r="E32" s="9">
        <v>751</v>
      </c>
      <c r="F32" s="9">
        <v>416.45</v>
      </c>
      <c r="G32" s="9" t="s">
        <v>554</v>
      </c>
      <c r="H32" s="9" t="s">
        <v>555</v>
      </c>
    </row>
    <row r="33" spans="1:8" ht="14.25">
      <c r="A33" s="9">
        <v>45673</v>
      </c>
      <c r="B33" s="9" t="s">
        <v>407</v>
      </c>
      <c r="C33" s="35">
        <v>45904</v>
      </c>
      <c r="D33" s="35">
        <v>45907</v>
      </c>
      <c r="E33" s="9">
        <v>750</v>
      </c>
      <c r="F33" s="9">
        <v>216.61</v>
      </c>
      <c r="G33" s="9" t="s">
        <v>554</v>
      </c>
      <c r="H33" s="9" t="s">
        <v>555</v>
      </c>
    </row>
    <row r="34" spans="1:8" ht="14.25">
      <c r="A34" s="9">
        <v>45673</v>
      </c>
      <c r="B34" s="9" t="s">
        <v>407</v>
      </c>
      <c r="C34" s="35">
        <v>45903</v>
      </c>
      <c r="D34" s="36">
        <v>45954</v>
      </c>
      <c r="E34" s="9">
        <v>740</v>
      </c>
      <c r="F34" s="9">
        <v>425.61</v>
      </c>
      <c r="G34" s="9" t="s">
        <v>554</v>
      </c>
      <c r="H34" s="9" t="s">
        <v>555</v>
      </c>
    </row>
    <row r="35" spans="1:8" ht="14.25">
      <c r="A35" s="9">
        <v>45673</v>
      </c>
      <c r="B35" s="9" t="s">
        <v>407</v>
      </c>
      <c r="C35" s="35">
        <v>45902</v>
      </c>
      <c r="D35" s="35">
        <v>45906</v>
      </c>
      <c r="E35" s="9">
        <v>731</v>
      </c>
      <c r="F35" s="9">
        <v>414.3</v>
      </c>
      <c r="G35" s="9" t="s">
        <v>554</v>
      </c>
      <c r="H35" s="9" t="s">
        <v>555</v>
      </c>
    </row>
    <row r="36" spans="1:8" ht="14.25">
      <c r="A36" s="9">
        <v>45673</v>
      </c>
      <c r="B36" s="9" t="s">
        <v>407</v>
      </c>
      <c r="C36" s="36">
        <v>45898</v>
      </c>
      <c r="D36" s="35">
        <v>45907</v>
      </c>
      <c r="E36" s="9">
        <v>711</v>
      </c>
      <c r="F36" s="9">
        <v>407.3</v>
      </c>
      <c r="G36" s="9" t="s">
        <v>554</v>
      </c>
      <c r="H36" s="9" t="s">
        <v>555</v>
      </c>
    </row>
    <row r="37" spans="1:8" ht="14.25">
      <c r="A37" s="9">
        <v>45673</v>
      </c>
      <c r="B37" s="9" t="s">
        <v>407</v>
      </c>
      <c r="C37" s="36">
        <v>45893</v>
      </c>
      <c r="D37" s="35">
        <v>45932</v>
      </c>
      <c r="E37" s="9">
        <v>683</v>
      </c>
      <c r="F37" s="9">
        <v>432.93</v>
      </c>
      <c r="G37" s="9" t="s">
        <v>554</v>
      </c>
      <c r="H37" s="9" t="s">
        <v>555</v>
      </c>
    </row>
    <row r="38" spans="1:8" ht="14.25">
      <c r="A38" s="9">
        <v>45673</v>
      </c>
      <c r="B38" s="9" t="s">
        <v>407</v>
      </c>
      <c r="C38" s="36">
        <v>45891</v>
      </c>
      <c r="D38" s="36">
        <v>45987</v>
      </c>
      <c r="E38" s="9">
        <v>671</v>
      </c>
      <c r="F38" s="9">
        <v>432.93</v>
      </c>
      <c r="G38" s="9" t="s">
        <v>554</v>
      </c>
      <c r="H38" s="9" t="s">
        <v>555</v>
      </c>
    </row>
    <row r="39" spans="1:8" ht="14.25">
      <c r="A39" s="9">
        <v>123</v>
      </c>
      <c r="B39" s="9" t="s">
        <v>407</v>
      </c>
      <c r="C39" s="36">
        <v>45883</v>
      </c>
      <c r="D39" s="35">
        <v>45908</v>
      </c>
      <c r="E39" s="9">
        <v>627</v>
      </c>
      <c r="F39" s="9">
        <v>425.61</v>
      </c>
      <c r="G39" s="9" t="s">
        <v>554</v>
      </c>
      <c r="H39" s="9" t="s">
        <v>555</v>
      </c>
    </row>
    <row r="40" spans="1:8" ht="14.25">
      <c r="A40" s="9">
        <v>123</v>
      </c>
      <c r="B40" s="9" t="s">
        <v>407</v>
      </c>
      <c r="C40" s="35">
        <v>45872</v>
      </c>
      <c r="D40" s="36">
        <v>45881</v>
      </c>
      <c r="E40" s="9">
        <v>545</v>
      </c>
      <c r="F40" s="9">
        <v>212.95</v>
      </c>
      <c r="G40" s="9" t="s">
        <v>554</v>
      </c>
      <c r="H40" s="9" t="s">
        <v>555</v>
      </c>
    </row>
    <row r="41" spans="1:8" ht="14.25">
      <c r="A41" s="9">
        <v>123</v>
      </c>
      <c r="B41" s="9" t="s">
        <v>407</v>
      </c>
      <c r="C41" s="36">
        <v>45861</v>
      </c>
      <c r="D41" s="35">
        <v>45877</v>
      </c>
      <c r="E41" s="9">
        <v>481</v>
      </c>
      <c r="F41" s="9">
        <v>416.46</v>
      </c>
      <c r="G41" s="9" t="s">
        <v>554</v>
      </c>
      <c r="H41" s="9" t="s">
        <v>555</v>
      </c>
    </row>
    <row r="42" spans="1:8" ht="14.25">
      <c r="A42" s="9">
        <v>123</v>
      </c>
      <c r="B42" s="9" t="s">
        <v>407</v>
      </c>
      <c r="C42" s="36">
        <v>45851</v>
      </c>
      <c r="D42" s="35">
        <v>45873</v>
      </c>
      <c r="E42" s="9">
        <v>429</v>
      </c>
      <c r="F42" s="9">
        <v>212.96</v>
      </c>
      <c r="G42" s="9" t="s">
        <v>554</v>
      </c>
      <c r="H42" s="9" t="s">
        <v>555</v>
      </c>
    </row>
    <row r="43" spans="1:8" ht="14.25">
      <c r="A43" s="39" t="s">
        <v>398</v>
      </c>
      <c r="B43" s="40">
        <v>18</v>
      </c>
      <c r="C43" s="39"/>
      <c r="D43" s="39"/>
      <c r="E43" s="39"/>
      <c r="F43" s="40">
        <v>6348.07</v>
      </c>
      <c r="G43" s="39"/>
      <c r="H43" s="39"/>
    </row>
    <row r="44" spans="1:8" ht="14.25">
      <c r="A44" s="9">
        <v>45673</v>
      </c>
      <c r="B44" s="9" t="s">
        <v>189</v>
      </c>
      <c r="C44" s="36">
        <v>46046</v>
      </c>
      <c r="D44" s="36">
        <v>46138</v>
      </c>
      <c r="E44" s="9">
        <v>1366</v>
      </c>
      <c r="F44" s="9">
        <v>722.72</v>
      </c>
      <c r="G44" s="9" t="s">
        <v>554</v>
      </c>
      <c r="H44" s="9" t="s">
        <v>555</v>
      </c>
    </row>
    <row r="45" spans="1:8" ht="14.25">
      <c r="A45" s="9">
        <v>45673</v>
      </c>
      <c r="B45" s="9" t="s">
        <v>189</v>
      </c>
      <c r="C45" s="36">
        <v>45950</v>
      </c>
      <c r="D45" s="36">
        <v>45950</v>
      </c>
      <c r="E45" s="9">
        <v>976</v>
      </c>
      <c r="F45" s="9">
        <v>283.16000000000003</v>
      </c>
      <c r="G45" s="9" t="s">
        <v>554</v>
      </c>
      <c r="H45" s="9" t="s">
        <v>555</v>
      </c>
    </row>
    <row r="46" spans="1:8" ht="14.25">
      <c r="A46" s="9">
        <v>45673</v>
      </c>
      <c r="B46" s="9" t="s">
        <v>189</v>
      </c>
      <c r="C46" s="35">
        <v>45937</v>
      </c>
      <c r="D46" s="36">
        <v>45951</v>
      </c>
      <c r="E46" s="9">
        <v>906</v>
      </c>
      <c r="F46" s="9">
        <v>575.76</v>
      </c>
      <c r="G46" s="9" t="s">
        <v>554</v>
      </c>
      <c r="H46" s="9" t="s">
        <v>555</v>
      </c>
    </row>
    <row r="47" spans="1:8" ht="14.25">
      <c r="A47" s="9">
        <v>45673</v>
      </c>
      <c r="B47" s="9" t="s">
        <v>189</v>
      </c>
      <c r="C47" s="36">
        <v>45923</v>
      </c>
      <c r="D47" s="36">
        <v>45928</v>
      </c>
      <c r="E47" s="9">
        <v>828</v>
      </c>
      <c r="F47" s="9">
        <v>283.16000000000003</v>
      </c>
      <c r="G47" s="9" t="s">
        <v>554</v>
      </c>
      <c r="H47" s="9" t="s">
        <v>555</v>
      </c>
    </row>
    <row r="48" spans="1:8" ht="14.25">
      <c r="A48" s="9">
        <v>45673</v>
      </c>
      <c r="B48" s="9" t="s">
        <v>189</v>
      </c>
      <c r="C48" s="36">
        <v>45911</v>
      </c>
      <c r="D48" s="36">
        <v>45911</v>
      </c>
      <c r="E48" s="9">
        <v>784</v>
      </c>
      <c r="F48" s="9">
        <v>283.16000000000003</v>
      </c>
      <c r="G48" s="9" t="s">
        <v>554</v>
      </c>
      <c r="H48" s="9" t="s">
        <v>555</v>
      </c>
    </row>
    <row r="49" spans="1:8" ht="14.25">
      <c r="A49" s="9">
        <v>45673</v>
      </c>
      <c r="B49" s="9" t="s">
        <v>189</v>
      </c>
      <c r="C49" s="35">
        <v>45902</v>
      </c>
      <c r="D49" s="36">
        <v>45926</v>
      </c>
      <c r="E49" s="9">
        <v>734</v>
      </c>
      <c r="F49" s="9">
        <v>283.16000000000003</v>
      </c>
      <c r="G49" s="9" t="s">
        <v>554</v>
      </c>
      <c r="H49" s="9" t="s">
        <v>555</v>
      </c>
    </row>
    <row r="50" spans="1:8" ht="14.25">
      <c r="A50" s="9">
        <v>123</v>
      </c>
      <c r="B50" s="9" t="s">
        <v>189</v>
      </c>
      <c r="C50" s="36">
        <v>45885</v>
      </c>
      <c r="D50" s="36">
        <v>45887</v>
      </c>
      <c r="E50" s="9">
        <v>637</v>
      </c>
      <c r="F50" s="9">
        <v>283.16000000000003</v>
      </c>
      <c r="G50" s="9" t="s">
        <v>554</v>
      </c>
      <c r="H50" s="9" t="s">
        <v>555</v>
      </c>
    </row>
    <row r="51" spans="1:8" ht="14.25">
      <c r="A51" s="9">
        <v>123</v>
      </c>
      <c r="B51" s="9" t="s">
        <v>189</v>
      </c>
      <c r="C51" s="36">
        <v>45881</v>
      </c>
      <c r="D51" s="36">
        <v>45884</v>
      </c>
      <c r="E51" s="9">
        <v>607</v>
      </c>
      <c r="F51" s="9">
        <v>566.03</v>
      </c>
      <c r="G51" s="9" t="s">
        <v>554</v>
      </c>
      <c r="H51" s="9" t="s">
        <v>555</v>
      </c>
    </row>
    <row r="52" spans="1:8" ht="14.25">
      <c r="A52" s="9">
        <v>123</v>
      </c>
      <c r="B52" s="9" t="s">
        <v>189</v>
      </c>
      <c r="C52" s="35">
        <v>45878</v>
      </c>
      <c r="D52" s="36">
        <v>45879</v>
      </c>
      <c r="E52" s="9">
        <v>590</v>
      </c>
      <c r="F52" s="9">
        <v>283.16000000000003</v>
      </c>
      <c r="G52" s="9" t="s">
        <v>554</v>
      </c>
      <c r="H52" s="9" t="s">
        <v>555</v>
      </c>
    </row>
    <row r="53" spans="1:8" ht="14.25">
      <c r="A53" s="9">
        <v>123</v>
      </c>
      <c r="B53" s="9" t="s">
        <v>189</v>
      </c>
      <c r="C53" s="36">
        <v>45866</v>
      </c>
      <c r="D53" s="36">
        <v>46020</v>
      </c>
      <c r="E53" s="9">
        <v>509</v>
      </c>
      <c r="F53" s="9">
        <v>424.59</v>
      </c>
      <c r="G53" s="9" t="s">
        <v>554</v>
      </c>
      <c r="H53" s="9" t="s">
        <v>555</v>
      </c>
    </row>
    <row r="54" spans="1:8" ht="14.25">
      <c r="A54" s="9">
        <v>123</v>
      </c>
      <c r="B54" s="9" t="s">
        <v>189</v>
      </c>
      <c r="C54" s="36">
        <v>45859</v>
      </c>
      <c r="D54" s="36">
        <v>45863</v>
      </c>
      <c r="E54" s="9">
        <v>469</v>
      </c>
      <c r="F54" s="9">
        <v>283.17</v>
      </c>
      <c r="G54" s="9" t="s">
        <v>554</v>
      </c>
      <c r="H54" s="9" t="s">
        <v>555</v>
      </c>
    </row>
    <row r="55" spans="1:8" ht="14.25">
      <c r="A55" s="37" t="s">
        <v>398</v>
      </c>
      <c r="B55" s="38">
        <v>11</v>
      </c>
      <c r="C55" s="37"/>
      <c r="D55" s="37"/>
      <c r="E55" s="37"/>
      <c r="F55" s="38">
        <v>3124.23</v>
      </c>
      <c r="G55" s="37"/>
      <c r="H55" s="37"/>
    </row>
    <row r="56" spans="1:8" ht="14.25">
      <c r="A56" s="9">
        <v>123</v>
      </c>
      <c r="B56" s="9" t="s">
        <v>419</v>
      </c>
      <c r="C56" s="36">
        <v>45883</v>
      </c>
      <c r="D56" s="36">
        <v>45887</v>
      </c>
      <c r="E56" s="9">
        <v>626</v>
      </c>
      <c r="F56" s="9">
        <v>573.69000000000005</v>
      </c>
      <c r="G56" s="9" t="s">
        <v>554</v>
      </c>
      <c r="H56" s="9" t="s">
        <v>555</v>
      </c>
    </row>
    <row r="57" spans="1:8" ht="14.25">
      <c r="A57" s="9">
        <v>123</v>
      </c>
      <c r="B57" s="9" t="s">
        <v>419</v>
      </c>
      <c r="C57" s="36">
        <v>45849</v>
      </c>
      <c r="D57" s="36">
        <v>45851</v>
      </c>
      <c r="E57" s="9">
        <v>422</v>
      </c>
      <c r="F57" s="9">
        <v>294.36</v>
      </c>
      <c r="G57" s="9" t="s">
        <v>554</v>
      </c>
      <c r="H57" s="9" t="s">
        <v>555</v>
      </c>
    </row>
    <row r="58" spans="1:8" ht="14.25">
      <c r="A58" s="9">
        <v>123</v>
      </c>
      <c r="B58" s="9" t="s">
        <v>419</v>
      </c>
      <c r="C58" s="36">
        <v>45849</v>
      </c>
      <c r="D58" s="36">
        <v>45851</v>
      </c>
      <c r="E58" s="9">
        <v>421</v>
      </c>
      <c r="F58" s="9">
        <v>294.36</v>
      </c>
      <c r="G58" s="9" t="s">
        <v>554</v>
      </c>
      <c r="H58" s="9" t="s">
        <v>555</v>
      </c>
    </row>
    <row r="59" spans="1:8" ht="14.25">
      <c r="A59" s="9">
        <v>123</v>
      </c>
      <c r="B59" s="9" t="s">
        <v>419</v>
      </c>
      <c r="C59" s="36">
        <v>45849</v>
      </c>
      <c r="D59" s="36">
        <v>45851</v>
      </c>
      <c r="E59" s="9">
        <v>419</v>
      </c>
      <c r="F59" s="9">
        <v>588.41</v>
      </c>
      <c r="G59" s="9" t="s">
        <v>554</v>
      </c>
      <c r="H59" s="9" t="s">
        <v>555</v>
      </c>
    </row>
    <row r="60" spans="1:8" ht="14.25">
      <c r="A60" s="37" t="s">
        <v>398</v>
      </c>
      <c r="B60" s="38">
        <v>4</v>
      </c>
      <c r="C60" s="37"/>
      <c r="D60" s="37"/>
      <c r="E60" s="37"/>
      <c r="F60" s="38">
        <v>1750.82</v>
      </c>
      <c r="G60" s="37"/>
      <c r="H60" s="37"/>
    </row>
    <row r="61" spans="1:8" ht="14.25">
      <c r="A61" s="9">
        <v>45673</v>
      </c>
      <c r="B61" s="9" t="s">
        <v>188</v>
      </c>
      <c r="C61" s="36">
        <v>46050</v>
      </c>
      <c r="D61" s="41">
        <v>46154</v>
      </c>
      <c r="E61" s="9">
        <v>1378</v>
      </c>
      <c r="F61" s="9">
        <v>247.66</v>
      </c>
      <c r="G61" s="9" t="s">
        <v>554</v>
      </c>
      <c r="H61" s="9" t="s">
        <v>555</v>
      </c>
    </row>
    <row r="62" spans="1:8" ht="14.25">
      <c r="A62" s="9">
        <v>45673</v>
      </c>
      <c r="B62" s="9" t="s">
        <v>188</v>
      </c>
      <c r="C62" s="35">
        <v>45962</v>
      </c>
      <c r="D62" s="35">
        <v>45968</v>
      </c>
      <c r="E62" s="9">
        <v>1025</v>
      </c>
      <c r="F62" s="9">
        <v>595.53</v>
      </c>
      <c r="G62" s="9" t="s">
        <v>554</v>
      </c>
      <c r="H62" s="9" t="s">
        <v>555</v>
      </c>
    </row>
    <row r="63" spans="1:8" ht="14.25">
      <c r="A63" s="9">
        <v>123</v>
      </c>
      <c r="B63" s="9" t="s">
        <v>188</v>
      </c>
      <c r="C63" s="35">
        <v>45878</v>
      </c>
      <c r="D63" s="36">
        <v>45880</v>
      </c>
      <c r="E63" s="9">
        <v>589</v>
      </c>
      <c r="F63" s="9">
        <v>509.52</v>
      </c>
      <c r="G63" s="9" t="s">
        <v>554</v>
      </c>
      <c r="H63" s="9" t="s">
        <v>555</v>
      </c>
    </row>
    <row r="64" spans="1:8" ht="14.25">
      <c r="A64" s="9">
        <v>123</v>
      </c>
      <c r="B64" s="9" t="s">
        <v>188</v>
      </c>
      <c r="C64" s="35">
        <v>45870</v>
      </c>
      <c r="D64" s="36">
        <v>46017</v>
      </c>
      <c r="E64" s="9">
        <v>535</v>
      </c>
      <c r="F64" s="9">
        <v>699.32</v>
      </c>
      <c r="G64" s="9" t="s">
        <v>554</v>
      </c>
      <c r="H64" s="9" t="s">
        <v>555</v>
      </c>
    </row>
    <row r="65" spans="1:8" ht="14.25">
      <c r="A65" s="9">
        <v>123</v>
      </c>
      <c r="B65" s="9" t="s">
        <v>188</v>
      </c>
      <c r="C65" s="36">
        <v>45858</v>
      </c>
      <c r="D65" s="36">
        <v>45861</v>
      </c>
      <c r="E65" s="9">
        <v>467</v>
      </c>
      <c r="F65" s="9">
        <v>228.22</v>
      </c>
      <c r="G65" s="9" t="s">
        <v>554</v>
      </c>
      <c r="H65" s="9" t="s">
        <v>555</v>
      </c>
    </row>
    <row r="66" spans="1:8" ht="14.25">
      <c r="A66" s="37" t="s">
        <v>398</v>
      </c>
      <c r="B66" s="38">
        <v>5</v>
      </c>
      <c r="C66" s="37"/>
      <c r="D66" s="37"/>
      <c r="E66" s="37"/>
      <c r="F66" s="38">
        <v>2280.25</v>
      </c>
      <c r="G66" s="37"/>
      <c r="H66" s="37"/>
    </row>
    <row r="67" spans="1:8" ht="14.25">
      <c r="A67" s="9">
        <v>45673</v>
      </c>
      <c r="B67" s="9" t="s">
        <v>186</v>
      </c>
      <c r="C67" s="36">
        <v>46063</v>
      </c>
      <c r="D67" s="35">
        <v>46084</v>
      </c>
      <c r="E67" s="9">
        <v>1421</v>
      </c>
      <c r="F67" s="9">
        <v>463.26</v>
      </c>
      <c r="G67" s="9" t="s">
        <v>554</v>
      </c>
      <c r="H67" s="9" t="s">
        <v>555</v>
      </c>
    </row>
    <row r="68" spans="1:8" ht="14.25">
      <c r="A68" s="9">
        <v>45673</v>
      </c>
      <c r="B68" s="9" t="s">
        <v>186</v>
      </c>
      <c r="C68" s="36">
        <v>45918</v>
      </c>
      <c r="D68" s="36">
        <v>45921</v>
      </c>
      <c r="E68" s="9">
        <v>814</v>
      </c>
      <c r="F68" s="9">
        <v>306.66000000000003</v>
      </c>
      <c r="G68" s="9" t="s">
        <v>554</v>
      </c>
      <c r="H68" s="9" t="s">
        <v>555</v>
      </c>
    </row>
    <row r="69" spans="1:8" ht="14.25">
      <c r="A69" s="9">
        <v>123</v>
      </c>
      <c r="B69" s="9" t="s">
        <v>186</v>
      </c>
      <c r="C69" s="35">
        <v>45874</v>
      </c>
      <c r="D69" s="36">
        <v>45959</v>
      </c>
      <c r="E69" s="9">
        <v>560</v>
      </c>
      <c r="F69" s="9">
        <v>741.36</v>
      </c>
      <c r="G69" s="9" t="s">
        <v>554</v>
      </c>
      <c r="H69" s="9" t="s">
        <v>555</v>
      </c>
    </row>
    <row r="70" spans="1:8" ht="14.25">
      <c r="A70" s="37" t="s">
        <v>398</v>
      </c>
      <c r="B70" s="38">
        <v>3</v>
      </c>
      <c r="C70" s="37"/>
      <c r="D70" s="37"/>
      <c r="E70" s="37"/>
      <c r="F70" s="38">
        <v>1511.28</v>
      </c>
      <c r="G70" s="37"/>
      <c r="H70" s="37"/>
    </row>
    <row r="71" spans="1:8" ht="14.25">
      <c r="A71" s="9">
        <v>45673</v>
      </c>
      <c r="B71" s="9" t="s">
        <v>183</v>
      </c>
      <c r="C71" s="36">
        <v>46040</v>
      </c>
      <c r="D71" s="35">
        <v>46055</v>
      </c>
      <c r="E71" s="9">
        <v>1331</v>
      </c>
      <c r="F71" s="9">
        <v>295.27</v>
      </c>
      <c r="G71" s="9" t="s">
        <v>554</v>
      </c>
      <c r="H71" s="9" t="s">
        <v>555</v>
      </c>
    </row>
    <row r="72" spans="1:8" ht="14.25">
      <c r="A72" s="9">
        <v>45673</v>
      </c>
      <c r="B72" s="9" t="s">
        <v>183</v>
      </c>
      <c r="C72" s="36">
        <v>46018</v>
      </c>
      <c r="D72" s="36">
        <v>46020</v>
      </c>
      <c r="E72" s="9">
        <v>1217</v>
      </c>
      <c r="F72" s="9">
        <v>193.62</v>
      </c>
      <c r="G72" s="9" t="s">
        <v>554</v>
      </c>
      <c r="H72" s="9" t="s">
        <v>555</v>
      </c>
    </row>
    <row r="73" spans="1:8" ht="14.25">
      <c r="A73" s="37" t="s">
        <v>398</v>
      </c>
      <c r="B73" s="38">
        <v>2</v>
      </c>
      <c r="C73" s="37"/>
      <c r="D73" s="37"/>
      <c r="E73" s="37"/>
      <c r="F73" s="38">
        <v>488.89</v>
      </c>
      <c r="G73" s="37"/>
      <c r="H73" s="37"/>
    </row>
    <row r="74" spans="1:8" ht="14.25">
      <c r="A74" s="9">
        <v>45673</v>
      </c>
      <c r="B74" s="9" t="s">
        <v>177</v>
      </c>
      <c r="C74" s="36">
        <v>46017</v>
      </c>
      <c r="D74" s="35">
        <v>46206</v>
      </c>
      <c r="E74" s="9">
        <v>1214</v>
      </c>
      <c r="F74" s="9">
        <v>2266.94</v>
      </c>
      <c r="G74" s="9" t="s">
        <v>554</v>
      </c>
      <c r="H74" s="9" t="s">
        <v>555</v>
      </c>
    </row>
    <row r="75" spans="1:8" ht="14.25">
      <c r="A75" s="9">
        <v>45673</v>
      </c>
      <c r="B75" s="9" t="s">
        <v>177</v>
      </c>
      <c r="C75" s="36">
        <v>46006</v>
      </c>
      <c r="D75" s="36">
        <v>46010</v>
      </c>
      <c r="E75" s="9">
        <v>1176</v>
      </c>
      <c r="F75" s="9">
        <v>320.81</v>
      </c>
      <c r="G75" s="9" t="s">
        <v>554</v>
      </c>
      <c r="H75" s="9" t="s">
        <v>555</v>
      </c>
    </row>
    <row r="76" spans="1:8" ht="14.25">
      <c r="A76" s="9">
        <v>45673</v>
      </c>
      <c r="B76" s="9" t="s">
        <v>177</v>
      </c>
      <c r="C76" s="35">
        <v>45969</v>
      </c>
      <c r="D76" s="36">
        <v>46017</v>
      </c>
      <c r="E76" s="9">
        <v>1049</v>
      </c>
      <c r="F76" s="9">
        <v>918.34</v>
      </c>
      <c r="G76" s="9" t="s">
        <v>554</v>
      </c>
      <c r="H76" s="9" t="s">
        <v>555</v>
      </c>
    </row>
    <row r="77" spans="1:8" ht="14.25">
      <c r="A77" s="9">
        <v>45673</v>
      </c>
      <c r="B77" s="9" t="s">
        <v>177</v>
      </c>
      <c r="C77" s="35">
        <v>45965</v>
      </c>
      <c r="D77" s="35">
        <v>46025</v>
      </c>
      <c r="E77" s="9">
        <v>1034</v>
      </c>
      <c r="F77" s="9">
        <v>1445.16</v>
      </c>
      <c r="G77" s="9" t="s">
        <v>554</v>
      </c>
      <c r="H77" s="9" t="s">
        <v>555</v>
      </c>
    </row>
    <row r="78" spans="1:8" ht="14.25">
      <c r="A78" s="9">
        <v>45673</v>
      </c>
      <c r="B78" s="9" t="s">
        <v>177</v>
      </c>
      <c r="C78" s="36">
        <v>45930</v>
      </c>
      <c r="D78" s="36">
        <v>45959</v>
      </c>
      <c r="E78" s="9">
        <v>861</v>
      </c>
      <c r="F78" s="9">
        <v>652.35</v>
      </c>
      <c r="G78" s="9" t="s">
        <v>554</v>
      </c>
      <c r="H78" s="9" t="s">
        <v>555</v>
      </c>
    </row>
    <row r="79" spans="1:8" ht="14.25">
      <c r="A79" s="9">
        <v>45673</v>
      </c>
      <c r="B79" s="9" t="s">
        <v>177</v>
      </c>
      <c r="C79" s="35">
        <v>45908</v>
      </c>
      <c r="D79" s="36">
        <v>45925</v>
      </c>
      <c r="E79" s="9">
        <v>765</v>
      </c>
      <c r="F79" s="9">
        <v>722.73</v>
      </c>
      <c r="G79" s="9" t="s">
        <v>554</v>
      </c>
      <c r="H79" s="9" t="s">
        <v>555</v>
      </c>
    </row>
    <row r="80" spans="1:8" ht="14.25">
      <c r="A80" s="37" t="s">
        <v>398</v>
      </c>
      <c r="B80" s="38">
        <v>6</v>
      </c>
      <c r="C80" s="37"/>
      <c r="D80" s="37"/>
      <c r="E80" s="37"/>
      <c r="F80" s="38">
        <v>6326.33</v>
      </c>
      <c r="G80" s="37"/>
      <c r="H80" s="37"/>
    </row>
    <row r="81" spans="1:8" ht="14.25">
      <c r="A81" s="9">
        <v>45673</v>
      </c>
      <c r="B81" s="9" t="s">
        <v>176</v>
      </c>
      <c r="C81" s="36">
        <v>45914</v>
      </c>
      <c r="D81" s="35">
        <v>45935</v>
      </c>
      <c r="E81" s="9">
        <v>801</v>
      </c>
      <c r="F81" s="9">
        <v>433.96</v>
      </c>
      <c r="G81" s="9" t="s">
        <v>554</v>
      </c>
      <c r="H81" s="9" t="s">
        <v>555</v>
      </c>
    </row>
    <row r="82" spans="1:8" ht="14.25">
      <c r="A82" s="9">
        <v>45673</v>
      </c>
      <c r="B82" s="9" t="s">
        <v>176</v>
      </c>
      <c r="C82" s="36">
        <v>45914</v>
      </c>
      <c r="D82" s="36">
        <v>46017</v>
      </c>
      <c r="E82" s="9">
        <v>794</v>
      </c>
      <c r="F82" s="9">
        <v>804.12</v>
      </c>
      <c r="G82" s="9" t="s">
        <v>554</v>
      </c>
      <c r="H82" s="9" t="s">
        <v>555</v>
      </c>
    </row>
    <row r="83" spans="1:8" ht="14.25">
      <c r="A83" s="9">
        <v>123</v>
      </c>
      <c r="B83" s="9" t="s">
        <v>176</v>
      </c>
      <c r="C83" s="36">
        <v>45887</v>
      </c>
      <c r="D83" s="36">
        <v>45926</v>
      </c>
      <c r="E83" s="9">
        <v>646</v>
      </c>
      <c r="F83" s="9">
        <v>1859.13</v>
      </c>
      <c r="G83" s="9" t="s">
        <v>554</v>
      </c>
      <c r="H83" s="9" t="s">
        <v>555</v>
      </c>
    </row>
    <row r="84" spans="1:8" ht="14.25">
      <c r="A84" s="9">
        <v>123</v>
      </c>
      <c r="B84" s="9" t="s">
        <v>176</v>
      </c>
      <c r="C84" s="36">
        <v>45858</v>
      </c>
      <c r="D84" s="36">
        <v>45882</v>
      </c>
      <c r="E84" s="9">
        <v>466</v>
      </c>
      <c r="F84" s="9">
        <v>1226.78</v>
      </c>
      <c r="G84" s="9" t="s">
        <v>554</v>
      </c>
      <c r="H84" s="9" t="s">
        <v>555</v>
      </c>
    </row>
    <row r="85" spans="1:8" ht="14.25">
      <c r="A85" s="9">
        <v>123</v>
      </c>
      <c r="B85" s="9" t="s">
        <v>176</v>
      </c>
      <c r="C85" s="35">
        <v>45839</v>
      </c>
      <c r="D85" s="36">
        <v>45853</v>
      </c>
      <c r="E85" s="9">
        <v>315</v>
      </c>
      <c r="F85" s="9">
        <v>802.94</v>
      </c>
      <c r="G85" s="9" t="s">
        <v>554</v>
      </c>
      <c r="H85" s="9" t="s">
        <v>555</v>
      </c>
    </row>
    <row r="86" spans="1:8" ht="14.25">
      <c r="A86" s="9">
        <v>123</v>
      </c>
      <c r="B86" s="9" t="s">
        <v>176</v>
      </c>
      <c r="C86" s="36">
        <v>45838</v>
      </c>
      <c r="D86" s="36">
        <v>45853</v>
      </c>
      <c r="E86" s="9">
        <v>305</v>
      </c>
      <c r="F86" s="9">
        <v>802.94</v>
      </c>
      <c r="G86" s="9" t="s">
        <v>554</v>
      </c>
      <c r="H86" s="9" t="s">
        <v>555</v>
      </c>
    </row>
    <row r="87" spans="1:8" ht="14.25">
      <c r="A87" s="37" t="s">
        <v>398</v>
      </c>
      <c r="B87" s="38">
        <v>6</v>
      </c>
      <c r="C87" s="37"/>
      <c r="D87" s="37"/>
      <c r="E87" s="37"/>
      <c r="F87" s="38">
        <v>5929.87</v>
      </c>
      <c r="G87" s="37"/>
      <c r="H87" s="37"/>
    </row>
    <row r="88" spans="1:8" ht="14.25">
      <c r="A88" s="9">
        <v>123</v>
      </c>
      <c r="B88" s="9" t="s">
        <v>175</v>
      </c>
      <c r="C88" s="35">
        <v>46062</v>
      </c>
      <c r="D88" s="36">
        <v>46063</v>
      </c>
      <c r="E88" s="9">
        <v>1415</v>
      </c>
      <c r="F88" s="9">
        <v>536.41999999999996</v>
      </c>
      <c r="G88" s="9" t="s">
        <v>556</v>
      </c>
      <c r="H88" s="9" t="s">
        <v>555</v>
      </c>
    </row>
    <row r="89" spans="1:8" ht="14.25">
      <c r="A89" s="9">
        <v>123</v>
      </c>
      <c r="B89" s="9" t="s">
        <v>175</v>
      </c>
      <c r="C89" s="35">
        <v>46059</v>
      </c>
      <c r="D89" s="36">
        <v>46124</v>
      </c>
      <c r="E89" s="9">
        <v>1407</v>
      </c>
      <c r="F89" s="9">
        <v>930.76</v>
      </c>
      <c r="G89" s="9" t="s">
        <v>556</v>
      </c>
      <c r="H89" s="9" t="s">
        <v>555</v>
      </c>
    </row>
    <row r="90" spans="1:8" ht="14.25">
      <c r="A90" s="9">
        <v>123</v>
      </c>
      <c r="B90" s="9" t="s">
        <v>175</v>
      </c>
      <c r="C90" s="35">
        <v>46056</v>
      </c>
      <c r="D90" s="35">
        <v>46061</v>
      </c>
      <c r="E90" s="9">
        <v>1392</v>
      </c>
      <c r="F90" s="9">
        <v>268.36</v>
      </c>
      <c r="G90" s="9" t="s">
        <v>556</v>
      </c>
      <c r="H90" s="9" t="s">
        <v>555</v>
      </c>
    </row>
    <row r="91" spans="1:8" ht="14.25">
      <c r="A91" s="9">
        <v>123</v>
      </c>
      <c r="B91" s="9" t="s">
        <v>175</v>
      </c>
      <c r="C91" s="35">
        <v>46058</v>
      </c>
      <c r="D91" s="36">
        <v>46091</v>
      </c>
      <c r="E91" s="9">
        <v>1388</v>
      </c>
      <c r="F91" s="9">
        <v>554.02</v>
      </c>
      <c r="G91" s="9" t="s">
        <v>556</v>
      </c>
      <c r="H91" s="9" t="s">
        <v>555</v>
      </c>
    </row>
    <row r="92" spans="1:8" ht="14.25">
      <c r="A92" s="9">
        <v>123</v>
      </c>
      <c r="B92" s="9" t="s">
        <v>175</v>
      </c>
      <c r="C92" s="36">
        <v>46049</v>
      </c>
      <c r="D92" s="36">
        <v>46050</v>
      </c>
      <c r="E92" s="9">
        <v>1375</v>
      </c>
      <c r="F92" s="9">
        <v>258.01</v>
      </c>
      <c r="G92" s="9" t="s">
        <v>556</v>
      </c>
      <c r="H92" s="9" t="s">
        <v>555</v>
      </c>
    </row>
    <row r="93" spans="1:8" ht="14.25">
      <c r="A93" s="9">
        <v>123</v>
      </c>
      <c r="B93" s="9" t="s">
        <v>175</v>
      </c>
      <c r="C93" s="36">
        <v>46045</v>
      </c>
      <c r="D93" s="36">
        <v>46047</v>
      </c>
      <c r="E93" s="9">
        <v>1363</v>
      </c>
      <c r="F93" s="9">
        <v>268.36</v>
      </c>
      <c r="G93" s="9" t="s">
        <v>556</v>
      </c>
      <c r="H93" s="9" t="s">
        <v>555</v>
      </c>
    </row>
    <row r="94" spans="1:8" ht="14.25">
      <c r="A94" s="9">
        <v>123</v>
      </c>
      <c r="B94" s="9" t="s">
        <v>175</v>
      </c>
      <c r="C94" s="36">
        <v>46043</v>
      </c>
      <c r="D94" s="36">
        <v>46131</v>
      </c>
      <c r="E94" s="9">
        <v>1354</v>
      </c>
      <c r="F94" s="9">
        <v>557.13</v>
      </c>
      <c r="G94" s="9" t="s">
        <v>556</v>
      </c>
      <c r="H94" s="9" t="s">
        <v>555</v>
      </c>
    </row>
    <row r="95" spans="1:8" ht="14.25">
      <c r="A95" s="9">
        <v>123</v>
      </c>
      <c r="B95" s="9" t="s">
        <v>175</v>
      </c>
      <c r="C95" s="36">
        <v>46043</v>
      </c>
      <c r="D95" s="35">
        <v>46055</v>
      </c>
      <c r="E95" s="9">
        <v>1351</v>
      </c>
      <c r="F95" s="9">
        <v>507.01</v>
      </c>
      <c r="G95" s="9" t="s">
        <v>556</v>
      </c>
      <c r="H95" s="9" t="s">
        <v>555</v>
      </c>
    </row>
    <row r="96" spans="1:8" ht="14.25">
      <c r="A96" s="9">
        <v>123</v>
      </c>
      <c r="B96" s="9" t="s">
        <v>175</v>
      </c>
      <c r="C96" s="36">
        <v>46043</v>
      </c>
      <c r="D96" s="36">
        <v>46045</v>
      </c>
      <c r="E96" s="9">
        <v>1349</v>
      </c>
      <c r="F96" s="9">
        <v>268.36</v>
      </c>
      <c r="G96" s="9" t="s">
        <v>556</v>
      </c>
      <c r="H96" s="9" t="s">
        <v>555</v>
      </c>
    </row>
    <row r="97" spans="1:8" ht="14.25">
      <c r="A97" s="9">
        <v>123</v>
      </c>
      <c r="B97" s="9" t="s">
        <v>175</v>
      </c>
      <c r="C97" s="36">
        <v>46041</v>
      </c>
      <c r="D97" s="36">
        <v>46221</v>
      </c>
      <c r="E97" s="9">
        <v>1340</v>
      </c>
      <c r="F97" s="9">
        <v>278.70999999999998</v>
      </c>
      <c r="G97" s="9" t="s">
        <v>556</v>
      </c>
      <c r="H97" s="9" t="s">
        <v>555</v>
      </c>
    </row>
    <row r="98" spans="1:8" ht="14.25">
      <c r="A98" s="9">
        <v>123</v>
      </c>
      <c r="B98" s="9" t="s">
        <v>175</v>
      </c>
      <c r="C98" s="36">
        <v>46040</v>
      </c>
      <c r="D98" s="36">
        <v>46065</v>
      </c>
      <c r="E98" s="9">
        <v>1329</v>
      </c>
      <c r="F98" s="9">
        <v>527.36</v>
      </c>
      <c r="G98" s="9" t="s">
        <v>556</v>
      </c>
      <c r="H98" s="9" t="s">
        <v>555</v>
      </c>
    </row>
    <row r="99" spans="1:8" ht="14.25">
      <c r="A99" s="9">
        <v>123</v>
      </c>
      <c r="B99" s="9" t="s">
        <v>175</v>
      </c>
      <c r="C99" s="36">
        <v>46039</v>
      </c>
      <c r="D99" s="41">
        <v>46164</v>
      </c>
      <c r="E99" s="9">
        <v>1321</v>
      </c>
      <c r="F99" s="9">
        <v>537.54</v>
      </c>
      <c r="G99" s="9" t="s">
        <v>556</v>
      </c>
      <c r="H99" s="9" t="s">
        <v>555</v>
      </c>
    </row>
    <row r="100" spans="1:8" ht="14.25">
      <c r="A100" s="9">
        <v>123</v>
      </c>
      <c r="B100" s="9" t="s">
        <v>175</v>
      </c>
      <c r="C100" s="36">
        <v>46039</v>
      </c>
      <c r="D100" s="36">
        <v>46129</v>
      </c>
      <c r="E100" s="9">
        <v>1320</v>
      </c>
      <c r="F100" s="9">
        <v>278.70999999999998</v>
      </c>
      <c r="G100" s="9" t="s">
        <v>556</v>
      </c>
      <c r="H100" s="9" t="s">
        <v>555</v>
      </c>
    </row>
    <row r="101" spans="1:8" ht="14.25">
      <c r="A101" s="9">
        <v>123</v>
      </c>
      <c r="B101" s="9" t="s">
        <v>175</v>
      </c>
      <c r="C101" s="36">
        <v>46037</v>
      </c>
      <c r="D101" s="36">
        <v>46040</v>
      </c>
      <c r="E101" s="9">
        <v>1312</v>
      </c>
      <c r="F101" s="9">
        <v>268.36</v>
      </c>
      <c r="G101" s="9" t="s">
        <v>556</v>
      </c>
      <c r="H101" s="9" t="s">
        <v>555</v>
      </c>
    </row>
    <row r="102" spans="1:8" ht="14.25">
      <c r="A102" s="9">
        <v>123</v>
      </c>
      <c r="B102" s="9" t="s">
        <v>175</v>
      </c>
      <c r="C102" s="36">
        <v>46036</v>
      </c>
      <c r="D102" s="35">
        <v>46118</v>
      </c>
      <c r="E102" s="9">
        <v>1302</v>
      </c>
      <c r="F102" s="9">
        <v>557.13</v>
      </c>
      <c r="G102" s="9" t="s">
        <v>556</v>
      </c>
      <c r="H102" s="9" t="s">
        <v>555</v>
      </c>
    </row>
    <row r="103" spans="1:8" ht="14.25">
      <c r="A103" s="9">
        <v>123</v>
      </c>
      <c r="B103" s="9" t="s">
        <v>175</v>
      </c>
      <c r="C103" s="36">
        <v>46035</v>
      </c>
      <c r="D103" s="35">
        <v>46056</v>
      </c>
      <c r="E103" s="9">
        <v>1301</v>
      </c>
      <c r="F103" s="9">
        <v>903.85</v>
      </c>
      <c r="G103" s="9" t="s">
        <v>556</v>
      </c>
      <c r="H103" s="9" t="s">
        <v>555</v>
      </c>
    </row>
    <row r="104" spans="1:8" ht="14.25">
      <c r="A104" s="9">
        <v>123</v>
      </c>
      <c r="B104" s="9" t="s">
        <v>175</v>
      </c>
      <c r="C104" s="35">
        <v>46024</v>
      </c>
      <c r="D104" s="36">
        <v>46185</v>
      </c>
      <c r="E104" s="9">
        <v>1239</v>
      </c>
      <c r="F104" s="9">
        <v>1111.4100000000001</v>
      </c>
      <c r="G104" s="9" t="s">
        <v>556</v>
      </c>
      <c r="H104" s="9" t="s">
        <v>555</v>
      </c>
    </row>
    <row r="105" spans="1:8" ht="14.25">
      <c r="A105" s="9">
        <v>123</v>
      </c>
      <c r="B105" s="9" t="s">
        <v>175</v>
      </c>
      <c r="C105" s="35">
        <v>46023</v>
      </c>
      <c r="D105" s="35">
        <v>46025</v>
      </c>
      <c r="E105" s="9">
        <v>1238</v>
      </c>
      <c r="F105" s="9">
        <v>1072.56</v>
      </c>
      <c r="G105" s="9" t="s">
        <v>556</v>
      </c>
      <c r="H105" s="9" t="s">
        <v>555</v>
      </c>
    </row>
    <row r="106" spans="1:8" ht="14.25">
      <c r="A106" s="9">
        <v>123</v>
      </c>
      <c r="B106" s="9" t="s">
        <v>175</v>
      </c>
      <c r="C106" s="36">
        <v>46022</v>
      </c>
      <c r="D106" s="35">
        <v>46083</v>
      </c>
      <c r="E106" s="9">
        <v>1237</v>
      </c>
      <c r="F106" s="9">
        <v>268.36</v>
      </c>
      <c r="G106" s="9" t="s">
        <v>556</v>
      </c>
      <c r="H106" s="9" t="s">
        <v>555</v>
      </c>
    </row>
    <row r="107" spans="1:8" ht="14.25">
      <c r="A107" s="9">
        <v>123</v>
      </c>
      <c r="B107" s="9" t="s">
        <v>175</v>
      </c>
      <c r="C107" s="36">
        <v>46021</v>
      </c>
      <c r="D107" s="36">
        <v>46078</v>
      </c>
      <c r="E107" s="9">
        <v>1233</v>
      </c>
      <c r="F107" s="9">
        <v>536.41999999999996</v>
      </c>
      <c r="G107" s="9" t="s">
        <v>556</v>
      </c>
      <c r="H107" s="9" t="s">
        <v>555</v>
      </c>
    </row>
    <row r="108" spans="1:8" ht="14.25">
      <c r="A108" s="9">
        <v>123</v>
      </c>
      <c r="B108" s="9" t="s">
        <v>175</v>
      </c>
      <c r="C108" s="36">
        <v>46020</v>
      </c>
      <c r="D108" s="36">
        <v>46039</v>
      </c>
      <c r="E108" s="9">
        <v>1231</v>
      </c>
      <c r="F108" s="9">
        <v>268.36</v>
      </c>
      <c r="G108" s="9" t="s">
        <v>556</v>
      </c>
      <c r="H108" s="9" t="s">
        <v>555</v>
      </c>
    </row>
    <row r="109" spans="1:8" ht="14.25">
      <c r="A109" s="9">
        <v>123</v>
      </c>
      <c r="B109" s="9" t="s">
        <v>175</v>
      </c>
      <c r="C109" s="36">
        <v>46020</v>
      </c>
      <c r="D109" s="41">
        <v>46164</v>
      </c>
      <c r="E109" s="9">
        <v>1230</v>
      </c>
      <c r="F109" s="9">
        <v>274</v>
      </c>
      <c r="G109" s="9" t="s">
        <v>556</v>
      </c>
      <c r="H109" s="9" t="s">
        <v>555</v>
      </c>
    </row>
    <row r="110" spans="1:8" ht="14.25">
      <c r="A110" s="9">
        <v>123</v>
      </c>
      <c r="B110" s="9" t="s">
        <v>175</v>
      </c>
      <c r="C110" s="36">
        <v>46020</v>
      </c>
      <c r="D110" s="36">
        <v>46073</v>
      </c>
      <c r="E110" s="9">
        <v>1227</v>
      </c>
      <c r="F110" s="9">
        <v>536.41999999999996</v>
      </c>
      <c r="G110" s="9" t="s">
        <v>556</v>
      </c>
      <c r="H110" s="9" t="s">
        <v>555</v>
      </c>
    </row>
    <row r="111" spans="1:8" ht="14.25">
      <c r="A111" s="9">
        <v>123</v>
      </c>
      <c r="B111" s="9" t="s">
        <v>175</v>
      </c>
      <c r="C111" s="36">
        <v>46019</v>
      </c>
      <c r="D111" s="36">
        <v>46093</v>
      </c>
      <c r="E111" s="9">
        <v>1224</v>
      </c>
      <c r="F111" s="9">
        <v>268.36</v>
      </c>
      <c r="G111" s="9" t="s">
        <v>556</v>
      </c>
      <c r="H111" s="9" t="s">
        <v>555</v>
      </c>
    </row>
    <row r="112" spans="1:8" ht="14.25">
      <c r="A112" s="9">
        <v>123</v>
      </c>
      <c r="B112" s="9" t="s">
        <v>175</v>
      </c>
      <c r="C112" s="36">
        <v>46035</v>
      </c>
      <c r="D112" s="36">
        <v>46096</v>
      </c>
      <c r="E112" s="9">
        <v>1180</v>
      </c>
      <c r="F112" s="9">
        <v>268.36</v>
      </c>
      <c r="G112" s="9" t="s">
        <v>556</v>
      </c>
      <c r="H112" s="9" t="s">
        <v>555</v>
      </c>
    </row>
    <row r="113" spans="1:8" ht="14.25">
      <c r="A113" s="9">
        <v>123</v>
      </c>
      <c r="B113" s="9" t="s">
        <v>175</v>
      </c>
      <c r="C113" s="36">
        <v>46005</v>
      </c>
      <c r="D113" s="36">
        <v>46012</v>
      </c>
      <c r="E113" s="9">
        <v>1167</v>
      </c>
      <c r="F113" s="9">
        <v>263.83</v>
      </c>
      <c r="G113" s="9" t="s">
        <v>556</v>
      </c>
      <c r="H113" s="9" t="s">
        <v>555</v>
      </c>
    </row>
    <row r="114" spans="1:8" ht="14.25">
      <c r="A114" s="9">
        <v>123</v>
      </c>
      <c r="B114" s="9" t="s">
        <v>175</v>
      </c>
      <c r="C114" s="36">
        <v>46004</v>
      </c>
      <c r="D114" s="36">
        <v>46038</v>
      </c>
      <c r="E114" s="9">
        <v>1165</v>
      </c>
      <c r="F114" s="9">
        <v>268.36</v>
      </c>
      <c r="G114" s="9" t="s">
        <v>556</v>
      </c>
      <c r="H114" s="9" t="s">
        <v>555</v>
      </c>
    </row>
    <row r="115" spans="1:8" ht="14.25">
      <c r="A115" s="9">
        <v>123</v>
      </c>
      <c r="B115" s="9" t="s">
        <v>175</v>
      </c>
      <c r="C115" s="36">
        <v>46002</v>
      </c>
      <c r="D115" s="36">
        <v>46004</v>
      </c>
      <c r="E115" s="9">
        <v>1159</v>
      </c>
      <c r="F115" s="9">
        <v>527.36</v>
      </c>
      <c r="G115" s="9" t="s">
        <v>556</v>
      </c>
      <c r="H115" s="9" t="s">
        <v>555</v>
      </c>
    </row>
    <row r="116" spans="1:8" ht="14.25">
      <c r="A116" s="9">
        <v>123</v>
      </c>
      <c r="B116" s="9" t="s">
        <v>175</v>
      </c>
      <c r="C116" s="35">
        <v>46000</v>
      </c>
      <c r="D116" s="36">
        <v>46018</v>
      </c>
      <c r="E116" s="9">
        <v>1156</v>
      </c>
      <c r="F116" s="9">
        <v>268.36</v>
      </c>
      <c r="G116" s="9" t="s">
        <v>556</v>
      </c>
      <c r="H116" s="9" t="s">
        <v>555</v>
      </c>
    </row>
    <row r="117" spans="1:8" ht="14.25">
      <c r="A117" s="9">
        <v>123</v>
      </c>
      <c r="B117" s="9" t="s">
        <v>175</v>
      </c>
      <c r="C117" s="35">
        <v>45999</v>
      </c>
      <c r="D117" s="35">
        <v>46000</v>
      </c>
      <c r="E117" s="9">
        <v>1150</v>
      </c>
      <c r="F117" s="9">
        <v>268.36</v>
      </c>
      <c r="G117" s="9" t="s">
        <v>556</v>
      </c>
      <c r="H117" s="9" t="s">
        <v>555</v>
      </c>
    </row>
    <row r="118" spans="1:8" ht="14.25">
      <c r="A118" s="9">
        <v>123</v>
      </c>
      <c r="B118" s="9" t="s">
        <v>175</v>
      </c>
      <c r="C118" s="35">
        <v>45997</v>
      </c>
      <c r="D118" s="36">
        <v>46097</v>
      </c>
      <c r="E118" s="9">
        <v>1142</v>
      </c>
      <c r="F118" s="9">
        <v>526.08000000000004</v>
      </c>
      <c r="G118" s="9" t="s">
        <v>556</v>
      </c>
      <c r="H118" s="9" t="s">
        <v>555</v>
      </c>
    </row>
    <row r="119" spans="1:8" ht="14.25">
      <c r="A119" s="9">
        <v>123</v>
      </c>
      <c r="B119" s="9" t="s">
        <v>175</v>
      </c>
      <c r="C119" s="35">
        <v>45995</v>
      </c>
      <c r="D119" s="36">
        <v>46032</v>
      </c>
      <c r="E119" s="9">
        <v>1134</v>
      </c>
      <c r="F119" s="9">
        <v>527.36</v>
      </c>
      <c r="G119" s="9" t="s">
        <v>556</v>
      </c>
      <c r="H119" s="9" t="s">
        <v>555</v>
      </c>
    </row>
    <row r="120" spans="1:8" ht="14.25">
      <c r="A120" s="9">
        <v>123</v>
      </c>
      <c r="B120" s="9" t="s">
        <v>175</v>
      </c>
      <c r="C120" s="35">
        <v>45994</v>
      </c>
      <c r="D120" s="35">
        <v>46026</v>
      </c>
      <c r="E120" s="9">
        <v>1129</v>
      </c>
      <c r="F120" s="9">
        <v>742.39</v>
      </c>
      <c r="G120" s="9" t="s">
        <v>556</v>
      </c>
      <c r="H120" s="9" t="s">
        <v>555</v>
      </c>
    </row>
    <row r="121" spans="1:8" ht="14.25">
      <c r="A121" s="9">
        <v>123</v>
      </c>
      <c r="B121" s="9" t="s">
        <v>175</v>
      </c>
      <c r="C121" s="36">
        <v>45991</v>
      </c>
      <c r="D121" s="36">
        <v>46020</v>
      </c>
      <c r="E121" s="9">
        <v>1121</v>
      </c>
      <c r="F121" s="9">
        <v>804.49</v>
      </c>
      <c r="G121" s="9" t="s">
        <v>556</v>
      </c>
      <c r="H121" s="9" t="s">
        <v>555</v>
      </c>
    </row>
    <row r="122" spans="1:8" ht="14.25">
      <c r="A122" s="9">
        <v>123</v>
      </c>
      <c r="B122" s="9" t="s">
        <v>175</v>
      </c>
      <c r="C122" s="36">
        <v>45988</v>
      </c>
      <c r="D122" s="35">
        <v>46024</v>
      </c>
      <c r="E122" s="9">
        <v>1114</v>
      </c>
      <c r="F122" s="9">
        <v>536.41999999999996</v>
      </c>
      <c r="G122" s="9" t="s">
        <v>556</v>
      </c>
      <c r="H122" s="9" t="s">
        <v>555</v>
      </c>
    </row>
    <row r="123" spans="1:8" ht="14.25">
      <c r="A123" s="9">
        <v>123</v>
      </c>
      <c r="B123" s="9" t="s">
        <v>175</v>
      </c>
      <c r="C123" s="36">
        <v>45987</v>
      </c>
      <c r="D123" s="35">
        <v>46083</v>
      </c>
      <c r="E123" s="9">
        <v>1107</v>
      </c>
      <c r="F123" s="9">
        <v>268.36</v>
      </c>
      <c r="G123" s="9" t="s">
        <v>556</v>
      </c>
      <c r="H123" s="9" t="s">
        <v>555</v>
      </c>
    </row>
    <row r="124" spans="1:8" ht="14.25">
      <c r="A124" s="9">
        <v>123</v>
      </c>
      <c r="B124" s="9" t="s">
        <v>175</v>
      </c>
      <c r="C124" s="36">
        <v>45987</v>
      </c>
      <c r="D124" s="36">
        <v>45988</v>
      </c>
      <c r="E124" s="9">
        <v>1104</v>
      </c>
      <c r="F124" s="9">
        <v>804.49</v>
      </c>
      <c r="G124" s="9" t="s">
        <v>556</v>
      </c>
      <c r="H124" s="9" t="s">
        <v>555</v>
      </c>
    </row>
    <row r="125" spans="1:8" ht="14.25">
      <c r="A125" s="9">
        <v>123</v>
      </c>
      <c r="B125" s="9" t="s">
        <v>175</v>
      </c>
      <c r="C125" s="36">
        <v>45986</v>
      </c>
      <c r="D125" s="36">
        <v>45989</v>
      </c>
      <c r="E125" s="9">
        <v>1100</v>
      </c>
      <c r="F125" s="9">
        <v>804.49</v>
      </c>
      <c r="G125" s="9" t="s">
        <v>556</v>
      </c>
      <c r="H125" s="9" t="s">
        <v>555</v>
      </c>
    </row>
    <row r="126" spans="1:8" ht="14.25">
      <c r="A126" s="9">
        <v>123</v>
      </c>
      <c r="B126" s="9" t="s">
        <v>175</v>
      </c>
      <c r="C126" s="36">
        <v>45983</v>
      </c>
      <c r="D126" s="36">
        <v>46007</v>
      </c>
      <c r="E126" s="9">
        <v>1090</v>
      </c>
      <c r="F126" s="9">
        <v>536.41999999999996</v>
      </c>
      <c r="G126" s="9" t="s">
        <v>556</v>
      </c>
      <c r="H126" s="9" t="s">
        <v>555</v>
      </c>
    </row>
    <row r="127" spans="1:8" ht="14.25">
      <c r="A127" s="9">
        <v>123</v>
      </c>
      <c r="B127" s="9" t="s">
        <v>175</v>
      </c>
      <c r="C127" s="36">
        <v>45981</v>
      </c>
      <c r="D127" s="35">
        <v>45993</v>
      </c>
      <c r="E127" s="9">
        <v>1082</v>
      </c>
      <c r="F127" s="9">
        <v>1581.49</v>
      </c>
      <c r="G127" s="9" t="s">
        <v>556</v>
      </c>
      <c r="H127" s="9" t="s">
        <v>555</v>
      </c>
    </row>
    <row r="128" spans="1:8" ht="14.25">
      <c r="A128" s="9">
        <v>123</v>
      </c>
      <c r="B128" s="9" t="s">
        <v>175</v>
      </c>
      <c r="C128" s="36">
        <v>45980</v>
      </c>
      <c r="D128" s="36">
        <v>46003</v>
      </c>
      <c r="E128" s="9">
        <v>1077</v>
      </c>
      <c r="F128" s="9">
        <v>536.41999999999996</v>
      </c>
      <c r="G128" s="9" t="s">
        <v>556</v>
      </c>
      <c r="H128" s="9" t="s">
        <v>555</v>
      </c>
    </row>
    <row r="129" spans="1:8" ht="14.25">
      <c r="A129" s="9">
        <v>123</v>
      </c>
      <c r="B129" s="9" t="s">
        <v>175</v>
      </c>
      <c r="C129" s="36">
        <v>45973</v>
      </c>
      <c r="D129" s="35">
        <v>46000</v>
      </c>
      <c r="E129" s="9">
        <v>1057</v>
      </c>
      <c r="F129" s="9">
        <v>268.36</v>
      </c>
      <c r="G129" s="9" t="s">
        <v>556</v>
      </c>
      <c r="H129" s="9" t="s">
        <v>555</v>
      </c>
    </row>
    <row r="130" spans="1:8" ht="14.25">
      <c r="A130" s="9">
        <v>123</v>
      </c>
      <c r="B130" s="9" t="s">
        <v>175</v>
      </c>
      <c r="C130" s="35">
        <v>45967</v>
      </c>
      <c r="D130" s="36">
        <v>45971</v>
      </c>
      <c r="E130" s="9">
        <v>1043</v>
      </c>
      <c r="F130" s="9">
        <v>536.41999999999996</v>
      </c>
      <c r="G130" s="9" t="s">
        <v>556</v>
      </c>
      <c r="H130" s="9" t="s">
        <v>555</v>
      </c>
    </row>
    <row r="131" spans="1:8" ht="14.25">
      <c r="A131" s="9">
        <v>123</v>
      </c>
      <c r="B131" s="9" t="s">
        <v>175</v>
      </c>
      <c r="C131" s="35">
        <v>45967</v>
      </c>
      <c r="D131" s="36">
        <v>46019</v>
      </c>
      <c r="E131" s="9">
        <v>1041</v>
      </c>
      <c r="F131" s="9">
        <v>474.33</v>
      </c>
      <c r="G131" s="9" t="s">
        <v>556</v>
      </c>
      <c r="H131" s="9" t="s">
        <v>555</v>
      </c>
    </row>
    <row r="132" spans="1:8" ht="14.25">
      <c r="A132" s="9">
        <v>123</v>
      </c>
      <c r="B132" s="9" t="s">
        <v>175</v>
      </c>
      <c r="C132" s="35">
        <v>45965</v>
      </c>
      <c r="D132" s="35">
        <v>45967</v>
      </c>
      <c r="E132" s="9">
        <v>1033</v>
      </c>
      <c r="F132" s="9">
        <v>527.36</v>
      </c>
      <c r="G132" s="9" t="s">
        <v>556</v>
      </c>
      <c r="H132" s="9" t="s">
        <v>555</v>
      </c>
    </row>
    <row r="133" spans="1:8" ht="14.25">
      <c r="A133" s="9">
        <v>123</v>
      </c>
      <c r="B133" s="9" t="s">
        <v>175</v>
      </c>
      <c r="C133" s="35">
        <v>45965</v>
      </c>
      <c r="D133" s="36">
        <v>46001</v>
      </c>
      <c r="E133" s="9">
        <v>1032</v>
      </c>
      <c r="F133" s="9">
        <v>268.36</v>
      </c>
      <c r="G133" s="9" t="s">
        <v>556</v>
      </c>
      <c r="H133" s="9" t="s">
        <v>555</v>
      </c>
    </row>
    <row r="134" spans="1:8" ht="14.25">
      <c r="A134" s="9">
        <v>123</v>
      </c>
      <c r="B134" s="9" t="s">
        <v>175</v>
      </c>
      <c r="C134" s="35">
        <v>45963</v>
      </c>
      <c r="D134" s="36">
        <v>45987</v>
      </c>
      <c r="E134" s="9">
        <v>1030</v>
      </c>
      <c r="F134" s="9">
        <v>536.41999999999996</v>
      </c>
      <c r="G134" s="9" t="s">
        <v>556</v>
      </c>
      <c r="H134" s="9" t="s">
        <v>555</v>
      </c>
    </row>
    <row r="135" spans="1:8" ht="14.25">
      <c r="A135" s="9">
        <v>123</v>
      </c>
      <c r="B135" s="9" t="s">
        <v>175</v>
      </c>
      <c r="C135" s="35">
        <v>45963</v>
      </c>
      <c r="D135" s="35">
        <v>45999</v>
      </c>
      <c r="E135" s="9">
        <v>1028</v>
      </c>
      <c r="F135" s="9">
        <v>536.41999999999996</v>
      </c>
      <c r="G135" s="9" t="s">
        <v>556</v>
      </c>
      <c r="H135" s="9" t="s">
        <v>555</v>
      </c>
    </row>
    <row r="136" spans="1:8" ht="14.25">
      <c r="A136" s="9">
        <v>123</v>
      </c>
      <c r="B136" s="9" t="s">
        <v>175</v>
      </c>
      <c r="C136" s="35">
        <v>45962</v>
      </c>
      <c r="D136" s="36">
        <v>45991</v>
      </c>
      <c r="E136" s="9">
        <v>1024</v>
      </c>
      <c r="F136" s="9">
        <v>790.89</v>
      </c>
      <c r="G136" s="9" t="s">
        <v>556</v>
      </c>
      <c r="H136" s="9" t="s">
        <v>555</v>
      </c>
    </row>
    <row r="137" spans="1:8" ht="14.25">
      <c r="A137" s="37" t="s">
        <v>398</v>
      </c>
      <c r="B137" s="38">
        <v>49</v>
      </c>
      <c r="C137" s="37"/>
      <c r="D137" s="37"/>
      <c r="E137" s="37"/>
      <c r="F137" s="38">
        <v>25307.58</v>
      </c>
      <c r="G137" s="37"/>
      <c r="H137" s="37"/>
    </row>
    <row r="138" spans="1:8" ht="14.25">
      <c r="A138" s="9">
        <v>123</v>
      </c>
      <c r="B138" s="9" t="s">
        <v>173</v>
      </c>
      <c r="C138" s="36">
        <v>45983</v>
      </c>
      <c r="D138" s="35">
        <v>45992</v>
      </c>
      <c r="E138" s="9">
        <v>1091</v>
      </c>
      <c r="F138" s="9">
        <v>515.73</v>
      </c>
      <c r="G138" s="9" t="s">
        <v>556</v>
      </c>
      <c r="H138" s="9" t="s">
        <v>555</v>
      </c>
    </row>
    <row r="139" spans="1:8" ht="14.25">
      <c r="A139" s="9">
        <v>123</v>
      </c>
      <c r="B139" s="9" t="s">
        <v>173</v>
      </c>
      <c r="C139" s="36">
        <v>45982</v>
      </c>
      <c r="D139" s="36">
        <v>45985</v>
      </c>
      <c r="E139" s="9">
        <v>1085</v>
      </c>
      <c r="F139" s="9">
        <v>507.01</v>
      </c>
      <c r="G139" s="9" t="s">
        <v>556</v>
      </c>
      <c r="H139" s="9" t="s">
        <v>555</v>
      </c>
    </row>
    <row r="140" spans="1:8" ht="14.25">
      <c r="A140" s="9">
        <v>123</v>
      </c>
      <c r="B140" s="9" t="s">
        <v>173</v>
      </c>
      <c r="C140" s="36">
        <v>45979</v>
      </c>
      <c r="D140" s="36">
        <v>46069</v>
      </c>
      <c r="E140" s="9">
        <v>1070</v>
      </c>
      <c r="F140" s="9">
        <v>515.73</v>
      </c>
      <c r="G140" s="9" t="s">
        <v>556</v>
      </c>
      <c r="H140" s="9" t="s">
        <v>555</v>
      </c>
    </row>
    <row r="141" spans="1:8" ht="14.25">
      <c r="A141" s="9">
        <v>123</v>
      </c>
      <c r="B141" s="9" t="s">
        <v>173</v>
      </c>
      <c r="C141" s="36">
        <v>45920</v>
      </c>
      <c r="D141" s="35">
        <v>45932</v>
      </c>
      <c r="E141" s="9">
        <v>821</v>
      </c>
      <c r="F141" s="9">
        <v>507.01</v>
      </c>
      <c r="G141" s="9" t="s">
        <v>556</v>
      </c>
      <c r="H141" s="9" t="s">
        <v>555</v>
      </c>
    </row>
    <row r="142" spans="1:8" ht="14.25">
      <c r="A142" s="9">
        <v>123</v>
      </c>
      <c r="B142" s="9" t="s">
        <v>173</v>
      </c>
      <c r="C142" s="35">
        <v>45906</v>
      </c>
      <c r="D142" s="36">
        <v>45922</v>
      </c>
      <c r="E142" s="9">
        <v>755</v>
      </c>
      <c r="F142" s="9">
        <v>1267.08</v>
      </c>
      <c r="G142" s="9" t="s">
        <v>556</v>
      </c>
      <c r="H142" s="9" t="s">
        <v>555</v>
      </c>
    </row>
    <row r="143" spans="1:8" ht="14.25">
      <c r="A143" s="9" t="s">
        <v>557</v>
      </c>
      <c r="B143" s="9" t="s">
        <v>173</v>
      </c>
      <c r="C143" s="35">
        <v>45877</v>
      </c>
      <c r="D143" s="36">
        <v>45913</v>
      </c>
      <c r="E143" s="9">
        <v>582</v>
      </c>
      <c r="F143" s="9">
        <v>253.65</v>
      </c>
      <c r="G143" s="9" t="s">
        <v>556</v>
      </c>
      <c r="H143" s="9" t="s">
        <v>555</v>
      </c>
    </row>
    <row r="144" spans="1:8" ht="14.25">
      <c r="A144" s="9" t="s">
        <v>557</v>
      </c>
      <c r="B144" s="9" t="s">
        <v>173</v>
      </c>
      <c r="C144" s="36">
        <v>45862</v>
      </c>
      <c r="D144" s="36">
        <v>45864</v>
      </c>
      <c r="E144" s="9">
        <v>491</v>
      </c>
      <c r="F144" s="9">
        <v>249</v>
      </c>
      <c r="G144" s="9" t="s">
        <v>556</v>
      </c>
      <c r="H144" s="9" t="s">
        <v>555</v>
      </c>
    </row>
    <row r="145" spans="1:8" ht="14.25">
      <c r="A145" s="9" t="s">
        <v>557</v>
      </c>
      <c r="B145" s="9" t="s">
        <v>173</v>
      </c>
      <c r="C145" s="35">
        <v>45842</v>
      </c>
      <c r="D145" s="35">
        <v>45845</v>
      </c>
      <c r="E145" s="9">
        <v>368</v>
      </c>
      <c r="F145" s="9">
        <v>253.28</v>
      </c>
      <c r="G145" s="9" t="s">
        <v>556</v>
      </c>
      <c r="H145" s="9" t="s">
        <v>555</v>
      </c>
    </row>
    <row r="146" spans="1:8" ht="14.25">
      <c r="A146" s="9" t="s">
        <v>557</v>
      </c>
      <c r="B146" s="9" t="s">
        <v>173</v>
      </c>
      <c r="C146" s="36">
        <v>45837</v>
      </c>
      <c r="D146" s="36">
        <v>45960</v>
      </c>
      <c r="E146" s="9">
        <v>295</v>
      </c>
      <c r="F146" s="9">
        <v>253.28</v>
      </c>
      <c r="G146" s="9" t="s">
        <v>556</v>
      </c>
      <c r="H146" s="9" t="s">
        <v>555</v>
      </c>
    </row>
    <row r="147" spans="1:8" ht="14.25">
      <c r="A147" s="9" t="s">
        <v>557</v>
      </c>
      <c r="B147" s="9" t="s">
        <v>173</v>
      </c>
      <c r="C147" s="36">
        <v>45837</v>
      </c>
      <c r="D147" s="36">
        <v>45929</v>
      </c>
      <c r="E147" s="9">
        <v>294</v>
      </c>
      <c r="F147" s="9">
        <v>253.28</v>
      </c>
      <c r="G147" s="9" t="s">
        <v>556</v>
      </c>
      <c r="H147" s="9" t="s">
        <v>555</v>
      </c>
    </row>
    <row r="148" spans="1:8" ht="14.25">
      <c r="A148" s="9" t="s">
        <v>557</v>
      </c>
      <c r="B148" s="9" t="s">
        <v>173</v>
      </c>
      <c r="C148" s="36">
        <v>45837</v>
      </c>
      <c r="D148" s="36">
        <v>45899</v>
      </c>
      <c r="E148" s="9">
        <v>293</v>
      </c>
      <c r="F148" s="9">
        <v>253.28</v>
      </c>
      <c r="G148" s="9" t="s">
        <v>556</v>
      </c>
      <c r="H148" s="9" t="s">
        <v>555</v>
      </c>
    </row>
    <row r="149" spans="1:8" ht="14.25">
      <c r="A149" s="9" t="s">
        <v>557</v>
      </c>
      <c r="B149" s="9" t="s">
        <v>173</v>
      </c>
      <c r="C149" s="36">
        <v>45837</v>
      </c>
      <c r="D149" s="36">
        <v>45869</v>
      </c>
      <c r="E149" s="9">
        <v>292</v>
      </c>
      <c r="F149" s="9">
        <v>253.28</v>
      </c>
      <c r="G149" s="9" t="s">
        <v>556</v>
      </c>
      <c r="H149" s="9" t="s">
        <v>555</v>
      </c>
    </row>
    <row r="150" spans="1:8" ht="14.25">
      <c r="A150" s="9" t="s">
        <v>557</v>
      </c>
      <c r="B150" s="9" t="s">
        <v>173</v>
      </c>
      <c r="C150" s="36">
        <v>45837</v>
      </c>
      <c r="D150" s="35">
        <v>45841</v>
      </c>
      <c r="E150" s="9">
        <v>286</v>
      </c>
      <c r="F150" s="9">
        <v>253.28</v>
      </c>
      <c r="G150" s="9" t="s">
        <v>556</v>
      </c>
      <c r="H150" s="9" t="s">
        <v>555</v>
      </c>
    </row>
    <row r="151" spans="1:8" ht="14.25">
      <c r="A151" s="37" t="s">
        <v>398</v>
      </c>
      <c r="B151" s="38">
        <v>13</v>
      </c>
      <c r="C151" s="37"/>
      <c r="D151" s="37"/>
      <c r="E151" s="37"/>
      <c r="F151" s="38">
        <v>5334.89</v>
      </c>
      <c r="G151" s="37"/>
      <c r="H151" s="37"/>
    </row>
    <row r="152" spans="1:8" ht="14.25">
      <c r="A152" s="9">
        <v>123</v>
      </c>
      <c r="B152" s="9" t="s">
        <v>169</v>
      </c>
      <c r="C152" s="36">
        <v>45832</v>
      </c>
      <c r="D152" s="36">
        <v>45895</v>
      </c>
      <c r="E152" s="9">
        <v>275</v>
      </c>
      <c r="F152" s="9">
        <v>330.5</v>
      </c>
      <c r="G152" s="9" t="s">
        <v>554</v>
      </c>
      <c r="H152" s="9" t="s">
        <v>555</v>
      </c>
    </row>
    <row r="153" spans="1:8" ht="14.25">
      <c r="A153" s="9">
        <v>123</v>
      </c>
      <c r="B153" s="9" t="s">
        <v>169</v>
      </c>
      <c r="C153" s="35">
        <v>45817</v>
      </c>
      <c r="D153" s="36">
        <v>45832</v>
      </c>
      <c r="E153" s="9">
        <v>225</v>
      </c>
      <c r="F153" s="9">
        <v>330.5</v>
      </c>
      <c r="G153" s="9" t="s">
        <v>554</v>
      </c>
      <c r="H153" s="9" t="s">
        <v>555</v>
      </c>
    </row>
    <row r="154" spans="1:8" ht="14.25">
      <c r="A154" s="9">
        <v>123</v>
      </c>
      <c r="B154" s="9" t="s">
        <v>169</v>
      </c>
      <c r="C154" s="35">
        <v>45817</v>
      </c>
      <c r="D154" s="36">
        <v>45834</v>
      </c>
      <c r="E154" s="9">
        <v>224</v>
      </c>
      <c r="F154" s="9">
        <v>330.5</v>
      </c>
      <c r="G154" s="9" t="s">
        <v>554</v>
      </c>
      <c r="H154" s="9" t="s">
        <v>555</v>
      </c>
    </row>
    <row r="155" spans="1:8" ht="14.25">
      <c r="A155" s="9">
        <v>123</v>
      </c>
      <c r="B155" s="9" t="s">
        <v>169</v>
      </c>
      <c r="C155" s="35">
        <v>45817</v>
      </c>
      <c r="D155" s="36">
        <v>45834</v>
      </c>
      <c r="E155" s="9">
        <v>223</v>
      </c>
      <c r="F155" s="9">
        <v>375.2</v>
      </c>
      <c r="G155" s="9" t="s">
        <v>554</v>
      </c>
      <c r="H155" s="9" t="s">
        <v>555</v>
      </c>
    </row>
    <row r="156" spans="1:8" ht="14.25">
      <c r="A156" s="9">
        <v>123</v>
      </c>
      <c r="B156" s="9" t="s">
        <v>169</v>
      </c>
      <c r="C156" s="35">
        <v>45817</v>
      </c>
      <c r="D156" s="36">
        <v>45827</v>
      </c>
      <c r="E156" s="9">
        <v>222</v>
      </c>
      <c r="F156" s="9">
        <v>330.5</v>
      </c>
      <c r="G156" s="9" t="s">
        <v>554</v>
      </c>
      <c r="H156" s="9" t="s">
        <v>555</v>
      </c>
    </row>
    <row r="157" spans="1:8" ht="14.25">
      <c r="A157" s="9">
        <v>123</v>
      </c>
      <c r="B157" s="9" t="s">
        <v>169</v>
      </c>
      <c r="C157" s="35">
        <v>45817</v>
      </c>
      <c r="D157" s="36">
        <v>45835</v>
      </c>
      <c r="E157" s="9">
        <v>218</v>
      </c>
      <c r="F157" s="9">
        <v>750.11</v>
      </c>
      <c r="G157" s="9" t="s">
        <v>554</v>
      </c>
      <c r="H157" s="9" t="s">
        <v>555</v>
      </c>
    </row>
    <row r="158" spans="1:8" ht="14.25">
      <c r="A158" s="9">
        <v>123</v>
      </c>
      <c r="B158" s="9" t="s">
        <v>169</v>
      </c>
      <c r="C158" s="35">
        <v>45817</v>
      </c>
      <c r="D158" s="36">
        <v>45821</v>
      </c>
      <c r="E158" s="9">
        <v>218</v>
      </c>
      <c r="F158" s="9">
        <v>750.11</v>
      </c>
      <c r="G158" s="9" t="s">
        <v>554</v>
      </c>
      <c r="H158" s="9" t="s">
        <v>555</v>
      </c>
    </row>
    <row r="159" spans="1:8" ht="14.25">
      <c r="A159" s="9">
        <v>123</v>
      </c>
      <c r="B159" s="9" t="s">
        <v>169</v>
      </c>
      <c r="C159" s="35">
        <v>45817</v>
      </c>
      <c r="D159" s="36">
        <v>45819</v>
      </c>
      <c r="E159" s="9">
        <v>217</v>
      </c>
      <c r="F159" s="9">
        <v>352.85</v>
      </c>
      <c r="G159" s="9" t="s">
        <v>554</v>
      </c>
      <c r="H159" s="9" t="s">
        <v>555</v>
      </c>
    </row>
    <row r="160" spans="1:8" ht="14.25">
      <c r="A160" s="9">
        <v>123</v>
      </c>
      <c r="B160" s="9" t="s">
        <v>169</v>
      </c>
      <c r="C160" s="35">
        <v>45817</v>
      </c>
      <c r="D160" s="36">
        <v>45838</v>
      </c>
      <c r="E160" s="9">
        <v>216</v>
      </c>
      <c r="F160" s="9">
        <v>352.85</v>
      </c>
      <c r="G160" s="9" t="s">
        <v>554</v>
      </c>
      <c r="H160" s="9" t="s">
        <v>555</v>
      </c>
    </row>
    <row r="161" spans="1:8" ht="14.25">
      <c r="A161" s="9">
        <v>123</v>
      </c>
      <c r="B161" s="9" t="s">
        <v>169</v>
      </c>
      <c r="C161" s="35">
        <v>45817</v>
      </c>
      <c r="D161" s="36">
        <v>45835</v>
      </c>
      <c r="E161" s="9">
        <v>215</v>
      </c>
      <c r="F161" s="9">
        <v>740.46</v>
      </c>
      <c r="G161" s="9" t="s">
        <v>554</v>
      </c>
      <c r="H161" s="9" t="s">
        <v>555</v>
      </c>
    </row>
    <row r="162" spans="1:8" ht="14.25">
      <c r="A162" s="9">
        <v>123</v>
      </c>
      <c r="B162" s="9" t="s">
        <v>169</v>
      </c>
      <c r="C162" s="35">
        <v>45817</v>
      </c>
      <c r="D162" s="36">
        <v>45827</v>
      </c>
      <c r="E162" s="9">
        <v>215</v>
      </c>
      <c r="F162" s="9">
        <v>740.46</v>
      </c>
      <c r="G162" s="9" t="s">
        <v>554</v>
      </c>
      <c r="H162" s="9" t="s">
        <v>555</v>
      </c>
    </row>
    <row r="163" spans="1:8" ht="14.25">
      <c r="A163" s="9">
        <v>123</v>
      </c>
      <c r="B163" s="9" t="s">
        <v>169</v>
      </c>
      <c r="C163" s="35">
        <v>45817</v>
      </c>
      <c r="D163" s="36">
        <v>45819</v>
      </c>
      <c r="E163" s="9">
        <v>213</v>
      </c>
      <c r="F163" s="9">
        <v>750.11</v>
      </c>
      <c r="G163" s="9" t="s">
        <v>554</v>
      </c>
      <c r="H163" s="9" t="s">
        <v>555</v>
      </c>
    </row>
    <row r="164" spans="1:8" ht="14.25">
      <c r="A164" s="9">
        <v>123</v>
      </c>
      <c r="B164" s="9" t="s">
        <v>169</v>
      </c>
      <c r="C164" s="35">
        <v>45817</v>
      </c>
      <c r="D164" s="36">
        <v>45827</v>
      </c>
      <c r="E164" s="9">
        <v>213</v>
      </c>
      <c r="F164" s="9">
        <v>750.11</v>
      </c>
      <c r="G164" s="9" t="s">
        <v>554</v>
      </c>
      <c r="H164" s="9" t="s">
        <v>555</v>
      </c>
    </row>
    <row r="165" spans="1:8" ht="14.25">
      <c r="A165" s="9">
        <v>123</v>
      </c>
      <c r="B165" s="9" t="s">
        <v>169</v>
      </c>
      <c r="C165" s="35">
        <v>45817</v>
      </c>
      <c r="D165" s="36">
        <v>45827</v>
      </c>
      <c r="E165" s="9">
        <v>205</v>
      </c>
      <c r="F165" s="9">
        <v>375.2</v>
      </c>
      <c r="G165" s="9" t="s">
        <v>554</v>
      </c>
      <c r="H165" s="9" t="s">
        <v>555</v>
      </c>
    </row>
    <row r="166" spans="1:8" ht="14.25">
      <c r="A166" s="9">
        <v>123</v>
      </c>
      <c r="B166" s="9" t="s">
        <v>169</v>
      </c>
      <c r="C166" s="35">
        <v>45816</v>
      </c>
      <c r="D166" s="36">
        <v>45820</v>
      </c>
      <c r="E166" s="9">
        <v>203</v>
      </c>
      <c r="F166" s="9">
        <v>375.2</v>
      </c>
      <c r="G166" s="9" t="s">
        <v>554</v>
      </c>
      <c r="H166" s="9" t="s">
        <v>555</v>
      </c>
    </row>
    <row r="167" spans="1:8" ht="14.25">
      <c r="A167" s="9">
        <v>123</v>
      </c>
      <c r="B167" s="9" t="s">
        <v>169</v>
      </c>
      <c r="C167" s="35">
        <v>45814</v>
      </c>
      <c r="D167" s="36">
        <v>45820</v>
      </c>
      <c r="E167" s="9">
        <v>201</v>
      </c>
      <c r="F167" s="9">
        <v>330.5</v>
      </c>
      <c r="G167" s="9" t="s">
        <v>554</v>
      </c>
      <c r="H167" s="9" t="s">
        <v>555</v>
      </c>
    </row>
    <row r="168" spans="1:8" ht="14.25">
      <c r="A168" s="9">
        <v>123</v>
      </c>
      <c r="B168" s="9" t="s">
        <v>169</v>
      </c>
      <c r="C168" s="35">
        <v>45814</v>
      </c>
      <c r="D168" s="36">
        <v>45834</v>
      </c>
      <c r="E168" s="9">
        <v>200</v>
      </c>
      <c r="F168" s="9">
        <v>330.5</v>
      </c>
      <c r="G168" s="9" t="s">
        <v>554</v>
      </c>
      <c r="H168" s="9" t="s">
        <v>555</v>
      </c>
    </row>
    <row r="169" spans="1:8" ht="14.25">
      <c r="A169" s="9">
        <v>123</v>
      </c>
      <c r="B169" s="9" t="s">
        <v>169</v>
      </c>
      <c r="C169" s="35">
        <v>45814</v>
      </c>
      <c r="D169" s="36">
        <v>45826</v>
      </c>
      <c r="E169" s="9">
        <v>199</v>
      </c>
      <c r="F169" s="9">
        <v>330.5</v>
      </c>
      <c r="G169" s="9" t="s">
        <v>554</v>
      </c>
      <c r="H169" s="9" t="s">
        <v>555</v>
      </c>
    </row>
    <row r="170" spans="1:8" ht="14.25">
      <c r="A170" s="9">
        <v>123</v>
      </c>
      <c r="B170" s="9" t="s">
        <v>169</v>
      </c>
      <c r="C170" s="35">
        <v>45814</v>
      </c>
      <c r="D170" s="36">
        <v>45821</v>
      </c>
      <c r="E170" s="9">
        <v>197</v>
      </c>
      <c r="F170" s="9">
        <v>375.2</v>
      </c>
      <c r="G170" s="9" t="s">
        <v>554</v>
      </c>
      <c r="H170" s="9" t="s">
        <v>555</v>
      </c>
    </row>
    <row r="171" spans="1:8" ht="14.25">
      <c r="A171" s="9">
        <v>123</v>
      </c>
      <c r="B171" s="9" t="s">
        <v>169</v>
      </c>
      <c r="C171" s="35">
        <v>45814</v>
      </c>
      <c r="D171" s="36">
        <v>45835</v>
      </c>
      <c r="E171" s="9">
        <v>194</v>
      </c>
      <c r="F171" s="9">
        <v>375.2</v>
      </c>
      <c r="G171" s="9" t="s">
        <v>554</v>
      </c>
      <c r="H171" s="9" t="s">
        <v>555</v>
      </c>
    </row>
    <row r="172" spans="1:8" ht="14.25">
      <c r="A172" s="9">
        <v>123</v>
      </c>
      <c r="B172" s="9" t="s">
        <v>169</v>
      </c>
      <c r="C172" s="35">
        <v>45814</v>
      </c>
      <c r="D172" s="36">
        <v>45835</v>
      </c>
      <c r="E172" s="9">
        <v>193</v>
      </c>
      <c r="F172" s="9">
        <v>330.5</v>
      </c>
      <c r="G172" s="9" t="s">
        <v>554</v>
      </c>
      <c r="H172" s="9" t="s">
        <v>555</v>
      </c>
    </row>
    <row r="173" spans="1:8" ht="14.25">
      <c r="A173" s="9">
        <v>123</v>
      </c>
      <c r="B173" s="9" t="s">
        <v>169</v>
      </c>
      <c r="C173" s="35">
        <v>45813</v>
      </c>
      <c r="D173" s="9"/>
      <c r="E173" s="9">
        <v>160</v>
      </c>
      <c r="F173" s="9">
        <v>589.58000000000004</v>
      </c>
      <c r="G173" s="9" t="s">
        <v>554</v>
      </c>
      <c r="H173" s="9" t="s">
        <v>555</v>
      </c>
    </row>
    <row r="174" spans="1:8" ht="14.25">
      <c r="A174" s="9">
        <v>123</v>
      </c>
      <c r="B174" s="9" t="s">
        <v>169</v>
      </c>
      <c r="C174" s="35">
        <v>45813</v>
      </c>
      <c r="D174" s="9"/>
      <c r="E174" s="9">
        <v>158</v>
      </c>
      <c r="F174" s="9">
        <v>330.5</v>
      </c>
      <c r="G174" s="9" t="s">
        <v>554</v>
      </c>
      <c r="H174" s="9" t="s">
        <v>555</v>
      </c>
    </row>
    <row r="175" spans="1:8" ht="14.25">
      <c r="A175" s="9">
        <v>123</v>
      </c>
      <c r="B175" s="9" t="s">
        <v>169</v>
      </c>
      <c r="C175" s="35">
        <v>45813</v>
      </c>
      <c r="D175" s="9"/>
      <c r="E175" s="9">
        <v>157</v>
      </c>
      <c r="F175" s="9">
        <v>330.5</v>
      </c>
      <c r="G175" s="9" t="s">
        <v>554</v>
      </c>
      <c r="H175" s="9" t="s">
        <v>555</v>
      </c>
    </row>
    <row r="176" spans="1:8" ht="14.25">
      <c r="A176" s="9">
        <v>45673</v>
      </c>
      <c r="B176" s="9" t="s">
        <v>382</v>
      </c>
      <c r="C176" s="36">
        <v>46040</v>
      </c>
      <c r="D176" s="42">
        <v>46144</v>
      </c>
      <c r="E176" s="9">
        <v>1330</v>
      </c>
      <c r="F176" s="9">
        <v>635.22</v>
      </c>
      <c r="G176" s="9" t="s">
        <v>554</v>
      </c>
      <c r="H176" s="9" t="s">
        <v>555</v>
      </c>
    </row>
    <row r="177" spans="1:8" ht="14.25">
      <c r="A177" s="37" t="s">
        <v>398</v>
      </c>
      <c r="B177" s="38">
        <v>25</v>
      </c>
      <c r="C177" s="37"/>
      <c r="D177" s="37"/>
      <c r="E177" s="37"/>
      <c r="F177" s="38">
        <v>11592.86</v>
      </c>
      <c r="G177" s="37"/>
      <c r="H177" s="37"/>
    </row>
    <row r="178" spans="1:8" ht="14.25">
      <c r="A178" s="9">
        <v>45673</v>
      </c>
      <c r="B178" s="9" t="s">
        <v>168</v>
      </c>
      <c r="C178" s="35">
        <v>46058</v>
      </c>
      <c r="D178" s="36">
        <v>46107</v>
      </c>
      <c r="E178" s="9">
        <v>1396</v>
      </c>
      <c r="F178" s="9">
        <v>778.68</v>
      </c>
      <c r="G178" s="9" t="s">
        <v>554</v>
      </c>
      <c r="H178" s="9" t="s">
        <v>555</v>
      </c>
    </row>
    <row r="179" spans="1:8" ht="14.25">
      <c r="A179" s="9">
        <v>45673</v>
      </c>
      <c r="B179" s="9" t="s">
        <v>168</v>
      </c>
      <c r="C179" s="36">
        <v>46048</v>
      </c>
      <c r="D179" s="35">
        <v>46058</v>
      </c>
      <c r="E179" s="9">
        <v>1372</v>
      </c>
      <c r="F179" s="9">
        <v>519.22</v>
      </c>
      <c r="G179" s="9" t="s">
        <v>554</v>
      </c>
      <c r="H179" s="9" t="s">
        <v>555</v>
      </c>
    </row>
    <row r="180" spans="1:8" ht="14.25">
      <c r="A180" s="9">
        <v>45673</v>
      </c>
      <c r="B180" s="9" t="s">
        <v>168</v>
      </c>
      <c r="C180" s="36">
        <v>46035</v>
      </c>
      <c r="D180" s="35">
        <v>46058</v>
      </c>
      <c r="E180" s="9">
        <v>1301</v>
      </c>
      <c r="F180" s="9">
        <v>903.85</v>
      </c>
      <c r="G180" s="9" t="s">
        <v>554</v>
      </c>
      <c r="H180" s="9" t="s">
        <v>555</v>
      </c>
    </row>
    <row r="181" spans="1:8" ht="14.25">
      <c r="A181" s="9">
        <v>45673</v>
      </c>
      <c r="B181" s="9" t="s">
        <v>168</v>
      </c>
      <c r="C181" s="36">
        <v>45987</v>
      </c>
      <c r="D181" s="36">
        <v>45988</v>
      </c>
      <c r="E181" s="9">
        <v>1103</v>
      </c>
      <c r="F181" s="9">
        <v>259.76</v>
      </c>
      <c r="G181" s="9" t="s">
        <v>554</v>
      </c>
      <c r="H181" s="9" t="s">
        <v>555</v>
      </c>
    </row>
    <row r="182" spans="1:8" ht="14.25">
      <c r="A182" s="9">
        <v>45673</v>
      </c>
      <c r="B182" s="9" t="s">
        <v>168</v>
      </c>
      <c r="C182" s="36">
        <v>45891</v>
      </c>
      <c r="D182" s="36">
        <v>45899</v>
      </c>
      <c r="E182" s="9">
        <v>673</v>
      </c>
      <c r="F182" s="9">
        <v>519.22</v>
      </c>
      <c r="G182" s="9" t="s">
        <v>554</v>
      </c>
      <c r="H182" s="9" t="s">
        <v>555</v>
      </c>
    </row>
    <row r="183" spans="1:8" ht="14.25">
      <c r="A183" s="9">
        <v>123</v>
      </c>
      <c r="B183" s="9" t="s">
        <v>168</v>
      </c>
      <c r="C183" s="36">
        <v>45890</v>
      </c>
      <c r="D183" s="36">
        <v>45892</v>
      </c>
      <c r="E183" s="9">
        <v>661</v>
      </c>
      <c r="F183" s="9">
        <v>259.76</v>
      </c>
      <c r="G183" s="9" t="s">
        <v>554</v>
      </c>
      <c r="H183" s="9" t="s">
        <v>555</v>
      </c>
    </row>
    <row r="184" spans="1:8" ht="14.25">
      <c r="A184" s="37" t="s">
        <v>398</v>
      </c>
      <c r="B184" s="38">
        <v>6</v>
      </c>
      <c r="C184" s="37"/>
      <c r="D184" s="37"/>
      <c r="E184" s="37"/>
      <c r="F184" s="38">
        <v>3240.49</v>
      </c>
      <c r="G184" s="37"/>
      <c r="H184" s="37"/>
    </row>
    <row r="185" spans="1:8" ht="14.25">
      <c r="A185" s="9">
        <v>123</v>
      </c>
      <c r="B185" s="9" t="s">
        <v>558</v>
      </c>
      <c r="C185" s="36">
        <v>45849</v>
      </c>
      <c r="D185" s="36">
        <v>45896</v>
      </c>
      <c r="E185" s="9">
        <v>413</v>
      </c>
      <c r="F185" s="9">
        <v>486.67</v>
      </c>
      <c r="G185" s="9" t="s">
        <v>554</v>
      </c>
      <c r="H185" s="9" t="s">
        <v>555</v>
      </c>
    </row>
    <row r="186" spans="1:8" ht="14.25">
      <c r="A186" s="9">
        <v>45673</v>
      </c>
      <c r="B186" s="9" t="s">
        <v>167</v>
      </c>
      <c r="C186" s="36">
        <v>45971</v>
      </c>
      <c r="D186" s="36">
        <v>45978</v>
      </c>
      <c r="E186" s="9">
        <v>1053</v>
      </c>
      <c r="F186" s="9">
        <v>247.66</v>
      </c>
      <c r="G186" s="9" t="s">
        <v>554</v>
      </c>
      <c r="H186" s="9" t="s">
        <v>555</v>
      </c>
    </row>
    <row r="187" spans="1:8" ht="14.25">
      <c r="A187" s="37" t="s">
        <v>398</v>
      </c>
      <c r="B187" s="38">
        <v>2</v>
      </c>
      <c r="C187" s="37"/>
      <c r="D187" s="37"/>
      <c r="E187" s="37"/>
      <c r="F187" s="38">
        <v>734.33</v>
      </c>
      <c r="G187" s="37"/>
      <c r="H187" s="37"/>
    </row>
    <row r="188" spans="1:8" ht="14.25">
      <c r="A188" s="9">
        <v>45673</v>
      </c>
      <c r="B188" s="9" t="s">
        <v>163</v>
      </c>
      <c r="C188" s="36">
        <v>45941</v>
      </c>
      <c r="D188" s="36">
        <v>45953</v>
      </c>
      <c r="E188" s="9">
        <v>921</v>
      </c>
      <c r="F188" s="9">
        <v>1099.2</v>
      </c>
      <c r="G188" s="9" t="s">
        <v>554</v>
      </c>
      <c r="H188" s="9" t="s">
        <v>555</v>
      </c>
    </row>
    <row r="189" spans="1:8" ht="14.25">
      <c r="A189" s="9">
        <v>45673</v>
      </c>
      <c r="B189" s="9" t="s">
        <v>163</v>
      </c>
      <c r="C189" s="35">
        <v>45909</v>
      </c>
      <c r="D189" s="36">
        <v>45912</v>
      </c>
      <c r="E189" s="9">
        <v>775</v>
      </c>
      <c r="F189" s="9">
        <v>732.9</v>
      </c>
      <c r="G189" s="9" t="s">
        <v>554</v>
      </c>
      <c r="H189" s="9" t="s">
        <v>555</v>
      </c>
    </row>
    <row r="190" spans="1:8" ht="14.25">
      <c r="A190" s="37" t="s">
        <v>398</v>
      </c>
      <c r="B190" s="38">
        <v>2</v>
      </c>
      <c r="C190" s="37"/>
      <c r="D190" s="37"/>
      <c r="E190" s="37"/>
      <c r="F190" s="38">
        <v>1832.1</v>
      </c>
      <c r="G190" s="37"/>
      <c r="H190" s="37"/>
    </row>
    <row r="191" spans="1:8" ht="14.25">
      <c r="A191" s="9">
        <v>123</v>
      </c>
      <c r="B191" s="9" t="s">
        <v>417</v>
      </c>
      <c r="C191" s="36">
        <v>46053</v>
      </c>
      <c r="D191" s="36">
        <v>46069</v>
      </c>
      <c r="E191" s="9">
        <v>1382</v>
      </c>
      <c r="F191" s="9">
        <v>432.93</v>
      </c>
      <c r="G191" s="9" t="s">
        <v>556</v>
      </c>
      <c r="H191" s="9" t="s">
        <v>555</v>
      </c>
    </row>
    <row r="192" spans="1:8" ht="14.25">
      <c r="A192" s="9">
        <v>123</v>
      </c>
      <c r="B192" s="9" t="s">
        <v>417</v>
      </c>
      <c r="C192" s="36">
        <v>46049</v>
      </c>
      <c r="D192" s="36">
        <v>46190</v>
      </c>
      <c r="E192" s="9">
        <v>1376</v>
      </c>
      <c r="F192" s="9">
        <v>668.79</v>
      </c>
      <c r="G192" s="9" t="s">
        <v>556</v>
      </c>
      <c r="H192" s="9" t="s">
        <v>555</v>
      </c>
    </row>
    <row r="193" spans="1:8" ht="14.25">
      <c r="A193" s="9">
        <v>123</v>
      </c>
      <c r="B193" s="9" t="s">
        <v>417</v>
      </c>
      <c r="C193" s="36">
        <v>46032</v>
      </c>
      <c r="D193" s="42">
        <v>46148</v>
      </c>
      <c r="E193" s="9">
        <v>1292</v>
      </c>
      <c r="F193" s="9">
        <v>425.61</v>
      </c>
      <c r="G193" s="9" t="s">
        <v>556</v>
      </c>
      <c r="H193" s="9" t="s">
        <v>555</v>
      </c>
    </row>
    <row r="194" spans="1:8" ht="14.25">
      <c r="A194" s="9">
        <v>123</v>
      </c>
      <c r="B194" s="9" t="s">
        <v>417</v>
      </c>
      <c r="C194" s="36">
        <v>46017</v>
      </c>
      <c r="D194" s="36">
        <v>46073</v>
      </c>
      <c r="E194" s="9">
        <v>1212</v>
      </c>
      <c r="F194" s="9">
        <v>638.27</v>
      </c>
      <c r="G194" s="9" t="s">
        <v>556</v>
      </c>
      <c r="H194" s="9" t="s">
        <v>555</v>
      </c>
    </row>
    <row r="195" spans="1:8" ht="14.25">
      <c r="A195" s="9">
        <v>123</v>
      </c>
      <c r="B195" s="9" t="s">
        <v>417</v>
      </c>
      <c r="C195" s="36">
        <v>45972</v>
      </c>
      <c r="D195" s="36">
        <v>45973</v>
      </c>
      <c r="E195" s="9">
        <v>1054</v>
      </c>
      <c r="F195" s="9">
        <v>212.95</v>
      </c>
      <c r="G195" s="9" t="s">
        <v>556</v>
      </c>
      <c r="H195" s="9" t="s">
        <v>555</v>
      </c>
    </row>
    <row r="196" spans="1:8" ht="14.25">
      <c r="A196" s="37" t="s">
        <v>398</v>
      </c>
      <c r="B196" s="38">
        <v>5</v>
      </c>
      <c r="C196" s="37"/>
      <c r="D196" s="37"/>
      <c r="E196" s="37"/>
      <c r="F196" s="38">
        <v>2378.5500000000002</v>
      </c>
      <c r="G196" s="37"/>
      <c r="H196" s="37"/>
    </row>
    <row r="197" spans="1:8" ht="14.25">
      <c r="A197" s="9">
        <v>123</v>
      </c>
      <c r="B197" s="9" t="s">
        <v>559</v>
      </c>
      <c r="C197" s="36">
        <v>45864</v>
      </c>
      <c r="D197" s="36">
        <v>45868</v>
      </c>
      <c r="E197" s="9">
        <v>500</v>
      </c>
      <c r="F197" s="9">
        <v>600.62</v>
      </c>
      <c r="G197" s="9" t="s">
        <v>554</v>
      </c>
      <c r="H197" s="9" t="s">
        <v>555</v>
      </c>
    </row>
    <row r="198" spans="1:8" ht="14.25">
      <c r="A198" s="9">
        <v>123</v>
      </c>
      <c r="B198" s="9" t="s">
        <v>559</v>
      </c>
      <c r="C198" s="36">
        <v>45862</v>
      </c>
      <c r="D198" s="35">
        <v>45931</v>
      </c>
      <c r="E198" s="9">
        <v>494</v>
      </c>
      <c r="F198" s="9">
        <v>772.58</v>
      </c>
      <c r="G198" s="9" t="s">
        <v>554</v>
      </c>
      <c r="H198" s="9" t="s">
        <v>555</v>
      </c>
    </row>
    <row r="199" spans="1:8" ht="14.25">
      <c r="A199" s="9">
        <v>123</v>
      </c>
      <c r="B199" s="9" t="s">
        <v>157</v>
      </c>
      <c r="C199" s="36">
        <v>45857</v>
      </c>
      <c r="D199" s="36">
        <v>45859</v>
      </c>
      <c r="E199" s="9">
        <v>462</v>
      </c>
      <c r="F199" s="9">
        <v>772.58</v>
      </c>
      <c r="G199" s="9" t="s">
        <v>554</v>
      </c>
      <c r="H199" s="9" t="s">
        <v>555</v>
      </c>
    </row>
    <row r="200" spans="1:8" ht="14.25">
      <c r="A200" s="9">
        <v>123</v>
      </c>
      <c r="B200" s="9" t="s">
        <v>157</v>
      </c>
      <c r="C200" s="36">
        <v>45850</v>
      </c>
      <c r="D200" s="36">
        <v>45885</v>
      </c>
      <c r="E200" s="9">
        <v>426</v>
      </c>
      <c r="F200" s="9">
        <v>300.45999999999998</v>
      </c>
      <c r="G200" s="9" t="s">
        <v>554</v>
      </c>
      <c r="H200" s="9" t="s">
        <v>555</v>
      </c>
    </row>
    <row r="201" spans="1:8" ht="14.25">
      <c r="A201" s="9">
        <v>123</v>
      </c>
      <c r="B201" s="9" t="s">
        <v>157</v>
      </c>
      <c r="C201" s="36">
        <v>45850</v>
      </c>
      <c r="D201" s="36">
        <v>45885</v>
      </c>
      <c r="E201" s="9">
        <v>424</v>
      </c>
      <c r="F201" s="9">
        <v>900.79</v>
      </c>
      <c r="G201" s="9" t="s">
        <v>554</v>
      </c>
      <c r="H201" s="9" t="s">
        <v>555</v>
      </c>
    </row>
    <row r="202" spans="1:8" ht="14.25">
      <c r="A202" s="9">
        <v>123</v>
      </c>
      <c r="B202" s="9" t="s">
        <v>156</v>
      </c>
      <c r="C202" s="35">
        <v>45844</v>
      </c>
      <c r="D202" s="36">
        <v>45857</v>
      </c>
      <c r="E202" s="9">
        <v>383</v>
      </c>
      <c r="F202" s="9">
        <v>685.59</v>
      </c>
      <c r="G202" s="9" t="s">
        <v>554</v>
      </c>
      <c r="H202" s="9" t="s">
        <v>555</v>
      </c>
    </row>
    <row r="203" spans="1:8" ht="14.25">
      <c r="A203" s="9">
        <v>123</v>
      </c>
      <c r="B203" s="9" t="s">
        <v>156</v>
      </c>
      <c r="C203" s="35">
        <v>45843</v>
      </c>
      <c r="D203" s="36">
        <v>45945</v>
      </c>
      <c r="E203" s="9">
        <v>376</v>
      </c>
      <c r="F203" s="9">
        <v>599.74</v>
      </c>
      <c r="G203" s="9" t="s">
        <v>554</v>
      </c>
      <c r="H203" s="9" t="s">
        <v>555</v>
      </c>
    </row>
    <row r="204" spans="1:8" ht="14.25">
      <c r="A204" s="9">
        <v>45673</v>
      </c>
      <c r="B204" s="9" t="s">
        <v>160</v>
      </c>
      <c r="C204" s="35">
        <v>45904</v>
      </c>
      <c r="D204" s="35">
        <v>45907</v>
      </c>
      <c r="E204" s="9">
        <v>747</v>
      </c>
      <c r="F204" s="9">
        <v>772.58</v>
      </c>
      <c r="G204" s="9" t="s">
        <v>554</v>
      </c>
      <c r="H204" s="9" t="s">
        <v>555</v>
      </c>
    </row>
    <row r="205" spans="1:8" ht="14.25">
      <c r="A205" s="9">
        <v>45673</v>
      </c>
      <c r="B205" s="9" t="s">
        <v>160</v>
      </c>
      <c r="C205" s="36">
        <v>45891</v>
      </c>
      <c r="D205" s="36">
        <v>45988</v>
      </c>
      <c r="E205" s="9">
        <v>672</v>
      </c>
      <c r="F205" s="9">
        <v>685.47</v>
      </c>
      <c r="G205" s="9" t="s">
        <v>554</v>
      </c>
      <c r="H205" s="9" t="s">
        <v>555</v>
      </c>
    </row>
    <row r="206" spans="1:8" ht="14.25">
      <c r="A206" s="9">
        <v>45673</v>
      </c>
      <c r="B206" s="9" t="s">
        <v>159</v>
      </c>
      <c r="C206" s="36">
        <v>46039</v>
      </c>
      <c r="D206" s="36">
        <v>46043</v>
      </c>
      <c r="E206" s="9">
        <v>1319</v>
      </c>
      <c r="F206" s="9">
        <v>1738.06</v>
      </c>
      <c r="G206" s="9" t="s">
        <v>554</v>
      </c>
      <c r="H206" s="9" t="s">
        <v>555</v>
      </c>
    </row>
    <row r="207" spans="1:8" ht="14.25">
      <c r="A207" s="9">
        <v>45673</v>
      </c>
      <c r="B207" s="9" t="s">
        <v>159</v>
      </c>
      <c r="C207" s="36">
        <v>46003</v>
      </c>
      <c r="D207" s="35">
        <v>46027</v>
      </c>
      <c r="E207" s="9">
        <v>1161</v>
      </c>
      <c r="F207" s="9">
        <v>1400.88</v>
      </c>
      <c r="G207" s="9" t="s">
        <v>554</v>
      </c>
      <c r="H207" s="9" t="s">
        <v>555</v>
      </c>
    </row>
    <row r="208" spans="1:8" ht="14.25">
      <c r="A208" s="9">
        <v>45673</v>
      </c>
      <c r="B208" s="9" t="s">
        <v>159</v>
      </c>
      <c r="C208" s="36">
        <v>45978</v>
      </c>
      <c r="D208" s="36">
        <v>46048</v>
      </c>
      <c r="E208" s="9">
        <v>1066</v>
      </c>
      <c r="F208" s="9">
        <v>600.62</v>
      </c>
      <c r="G208" s="9" t="s">
        <v>554</v>
      </c>
      <c r="H208" s="9" t="s">
        <v>555</v>
      </c>
    </row>
    <row r="209" spans="1:8" ht="14.25">
      <c r="A209" s="9">
        <v>45673</v>
      </c>
      <c r="B209" s="9" t="s">
        <v>159</v>
      </c>
      <c r="C209" s="35">
        <v>45968</v>
      </c>
      <c r="D209" s="35">
        <v>45969</v>
      </c>
      <c r="E209" s="9">
        <v>1044</v>
      </c>
      <c r="F209" s="9">
        <v>610.95000000000005</v>
      </c>
      <c r="G209" s="9" t="s">
        <v>554</v>
      </c>
      <c r="H209" s="9" t="s">
        <v>555</v>
      </c>
    </row>
    <row r="210" spans="1:8" ht="14.25">
      <c r="A210" s="9">
        <v>45673</v>
      </c>
      <c r="B210" s="9" t="s">
        <v>159</v>
      </c>
      <c r="C210" s="36">
        <v>45955</v>
      </c>
      <c r="D210" s="36">
        <v>46036</v>
      </c>
      <c r="E210" s="9">
        <v>1004</v>
      </c>
      <c r="F210" s="9">
        <v>386.44</v>
      </c>
      <c r="G210" s="9" t="s">
        <v>554</v>
      </c>
      <c r="H210" s="9" t="s">
        <v>555</v>
      </c>
    </row>
    <row r="211" spans="1:8" ht="14.25">
      <c r="A211" s="9">
        <v>45673</v>
      </c>
      <c r="B211" s="9" t="s">
        <v>159</v>
      </c>
      <c r="C211" s="35">
        <v>45931</v>
      </c>
      <c r="D211" s="35">
        <v>45933</v>
      </c>
      <c r="E211" s="9">
        <v>869</v>
      </c>
      <c r="F211" s="9">
        <v>542.62</v>
      </c>
      <c r="G211" s="9" t="s">
        <v>554</v>
      </c>
      <c r="H211" s="9" t="s">
        <v>555</v>
      </c>
    </row>
    <row r="212" spans="1:8" ht="14.25">
      <c r="A212" s="37" t="s">
        <v>398</v>
      </c>
      <c r="B212" s="38">
        <v>15</v>
      </c>
      <c r="C212" s="37"/>
      <c r="D212" s="37"/>
      <c r="E212" s="37"/>
      <c r="F212" s="38">
        <v>11369.98</v>
      </c>
      <c r="G212" s="37"/>
      <c r="H212" s="37"/>
    </row>
    <row r="213" spans="1:8" ht="14.25">
      <c r="A213" s="9">
        <v>123</v>
      </c>
      <c r="B213" s="9" t="s">
        <v>560</v>
      </c>
      <c r="C213" s="36">
        <v>46036</v>
      </c>
      <c r="D213" s="36">
        <v>46073</v>
      </c>
      <c r="E213" s="9">
        <v>1308</v>
      </c>
      <c r="F213" s="9">
        <v>432.93</v>
      </c>
      <c r="G213" s="9" t="s">
        <v>556</v>
      </c>
      <c r="H213" s="9" t="s">
        <v>555</v>
      </c>
    </row>
    <row r="214" spans="1:8" ht="14.25">
      <c r="A214" s="9">
        <v>123</v>
      </c>
      <c r="B214" s="9" t="s">
        <v>561</v>
      </c>
      <c r="C214" s="35">
        <v>46058</v>
      </c>
      <c r="D214" s="36">
        <v>46093</v>
      </c>
      <c r="E214" s="9">
        <v>1388</v>
      </c>
      <c r="F214" s="9">
        <v>554.02</v>
      </c>
      <c r="G214" s="9" t="s">
        <v>556</v>
      </c>
      <c r="H214" s="9" t="s">
        <v>555</v>
      </c>
    </row>
    <row r="215" spans="1:8" ht="14.25">
      <c r="A215" s="9">
        <v>123</v>
      </c>
      <c r="B215" s="9" t="s">
        <v>308</v>
      </c>
      <c r="C215" s="35">
        <v>46054</v>
      </c>
      <c r="D215" s="42">
        <v>46144</v>
      </c>
      <c r="E215" s="9">
        <v>1385</v>
      </c>
      <c r="F215" s="9">
        <v>449.49</v>
      </c>
      <c r="G215" s="9" t="s">
        <v>556</v>
      </c>
      <c r="H215" s="9" t="s">
        <v>555</v>
      </c>
    </row>
    <row r="216" spans="1:8" ht="14.25">
      <c r="A216" s="9">
        <v>45673</v>
      </c>
      <c r="B216" s="9" t="s">
        <v>153</v>
      </c>
      <c r="C216" s="36">
        <v>46046</v>
      </c>
      <c r="D216" s="36">
        <v>46137</v>
      </c>
      <c r="E216" s="9">
        <v>1366</v>
      </c>
      <c r="F216" s="9">
        <v>722.72</v>
      </c>
      <c r="G216" s="9" t="s">
        <v>554</v>
      </c>
      <c r="H216" s="9" t="s">
        <v>555</v>
      </c>
    </row>
    <row r="217" spans="1:8" ht="14.25">
      <c r="A217" s="9">
        <v>45673</v>
      </c>
      <c r="B217" s="9" t="s">
        <v>153</v>
      </c>
      <c r="C217" s="35">
        <v>46024</v>
      </c>
      <c r="D217" s="36">
        <v>46183</v>
      </c>
      <c r="E217" s="9">
        <v>1239</v>
      </c>
      <c r="F217" s="9">
        <v>1111.4100000000001</v>
      </c>
      <c r="G217" s="9" t="s">
        <v>554</v>
      </c>
      <c r="H217" s="9" t="s">
        <v>555</v>
      </c>
    </row>
    <row r="218" spans="1:8" ht="14.25">
      <c r="A218" s="9">
        <v>45673</v>
      </c>
      <c r="B218" s="9" t="s">
        <v>153</v>
      </c>
      <c r="C218" s="36">
        <v>46020</v>
      </c>
      <c r="D218" s="36">
        <v>46041</v>
      </c>
      <c r="E218" s="9">
        <v>1229</v>
      </c>
      <c r="F218" s="9">
        <v>300.45999999999998</v>
      </c>
      <c r="G218" s="9" t="s">
        <v>554</v>
      </c>
      <c r="H218" s="9" t="s">
        <v>555</v>
      </c>
    </row>
    <row r="219" spans="1:8" ht="14.25">
      <c r="A219" s="9">
        <v>45673</v>
      </c>
      <c r="B219" s="9" t="s">
        <v>153</v>
      </c>
      <c r="C219" s="36">
        <v>46008</v>
      </c>
      <c r="D219" s="35">
        <v>46025</v>
      </c>
      <c r="E219" s="9">
        <v>1186</v>
      </c>
      <c r="F219" s="9">
        <v>202.12</v>
      </c>
      <c r="G219" s="9" t="s">
        <v>554</v>
      </c>
      <c r="H219" s="9" t="s">
        <v>555</v>
      </c>
    </row>
    <row r="220" spans="1:8" ht="14.25">
      <c r="A220" s="9">
        <v>45673</v>
      </c>
      <c r="B220" s="9" t="s">
        <v>153</v>
      </c>
      <c r="C220" s="36">
        <v>45976</v>
      </c>
      <c r="D220" s="36">
        <v>45977</v>
      </c>
      <c r="E220" s="9">
        <v>1061</v>
      </c>
      <c r="F220" s="9">
        <v>198.71</v>
      </c>
      <c r="G220" s="9" t="s">
        <v>554</v>
      </c>
      <c r="H220" s="9" t="s">
        <v>555</v>
      </c>
    </row>
    <row r="221" spans="1:8" ht="14.25">
      <c r="A221" s="9">
        <v>45673</v>
      </c>
      <c r="B221" s="9" t="s">
        <v>153</v>
      </c>
      <c r="C221" s="36">
        <v>45958</v>
      </c>
      <c r="D221" s="36">
        <v>46012</v>
      </c>
      <c r="E221" s="9">
        <v>1014</v>
      </c>
      <c r="F221" s="9">
        <v>397.12</v>
      </c>
      <c r="G221" s="9" t="s">
        <v>554</v>
      </c>
      <c r="H221" s="9" t="s">
        <v>555</v>
      </c>
    </row>
    <row r="222" spans="1:8" ht="14.25">
      <c r="A222" s="9">
        <v>45673</v>
      </c>
      <c r="B222" s="9" t="s">
        <v>153</v>
      </c>
      <c r="C222" s="36">
        <v>45950</v>
      </c>
      <c r="D222" s="35">
        <v>46000</v>
      </c>
      <c r="E222" s="9">
        <v>985</v>
      </c>
      <c r="F222" s="9">
        <v>531.25</v>
      </c>
      <c r="G222" s="9" t="s">
        <v>554</v>
      </c>
      <c r="H222" s="9" t="s">
        <v>555</v>
      </c>
    </row>
    <row r="223" spans="1:8" ht="14.25">
      <c r="A223" s="9">
        <v>123</v>
      </c>
      <c r="B223" s="9" t="s">
        <v>153</v>
      </c>
      <c r="C223" s="35">
        <v>45844</v>
      </c>
      <c r="D223" s="35">
        <v>45846</v>
      </c>
      <c r="E223" s="9">
        <v>378</v>
      </c>
      <c r="F223" s="9">
        <v>521.51</v>
      </c>
      <c r="G223" s="9" t="s">
        <v>554</v>
      </c>
      <c r="H223" s="9" t="s">
        <v>555</v>
      </c>
    </row>
    <row r="224" spans="1:8" ht="14.25">
      <c r="A224" s="9">
        <v>123</v>
      </c>
      <c r="B224" s="9" t="s">
        <v>153</v>
      </c>
      <c r="C224" s="35">
        <v>45842</v>
      </c>
      <c r="D224" s="35">
        <v>45847</v>
      </c>
      <c r="E224" s="9">
        <v>367</v>
      </c>
      <c r="F224" s="9">
        <v>922.83</v>
      </c>
      <c r="G224" s="9" t="s">
        <v>554</v>
      </c>
      <c r="H224" s="9" t="s">
        <v>555</v>
      </c>
    </row>
    <row r="225" spans="1:8" ht="14.25">
      <c r="A225" s="9">
        <v>123</v>
      </c>
      <c r="B225" s="9" t="s">
        <v>153</v>
      </c>
      <c r="C225" s="36">
        <v>45838</v>
      </c>
      <c r="D225" s="35">
        <v>45839</v>
      </c>
      <c r="E225" s="9">
        <v>308</v>
      </c>
      <c r="F225" s="9">
        <v>198.42</v>
      </c>
      <c r="G225" s="9" t="s">
        <v>554</v>
      </c>
      <c r="H225" s="9" t="s">
        <v>555</v>
      </c>
    </row>
    <row r="226" spans="1:8" ht="14.25">
      <c r="A226" s="37" t="s">
        <v>398</v>
      </c>
      <c r="B226" s="38">
        <v>13</v>
      </c>
      <c r="C226" s="37"/>
      <c r="D226" s="37"/>
      <c r="E226" s="37"/>
      <c r="F226" s="38">
        <v>6542.99</v>
      </c>
      <c r="G226" s="37"/>
      <c r="H226" s="37"/>
    </row>
    <row r="227" spans="1:8" ht="14.25">
      <c r="A227" s="9">
        <v>123</v>
      </c>
      <c r="B227" s="9" t="s">
        <v>415</v>
      </c>
      <c r="C227" s="36">
        <v>46014</v>
      </c>
      <c r="D227" s="35">
        <v>46025</v>
      </c>
      <c r="E227" s="9">
        <v>1206</v>
      </c>
      <c r="F227" s="9">
        <v>859.35</v>
      </c>
      <c r="G227" s="9" t="s">
        <v>556</v>
      </c>
      <c r="H227" s="9" t="s">
        <v>555</v>
      </c>
    </row>
    <row r="228" spans="1:8" ht="14.25">
      <c r="A228" s="9">
        <v>123</v>
      </c>
      <c r="B228" s="9" t="s">
        <v>415</v>
      </c>
      <c r="C228" s="36">
        <v>45975</v>
      </c>
      <c r="D228" s="35">
        <v>45993</v>
      </c>
      <c r="E228" s="9">
        <v>1060</v>
      </c>
      <c r="F228" s="9">
        <v>844.82</v>
      </c>
      <c r="G228" s="9" t="s">
        <v>556</v>
      </c>
      <c r="H228" s="9" t="s">
        <v>555</v>
      </c>
    </row>
    <row r="229" spans="1:8" ht="14.25">
      <c r="A229" s="9">
        <v>123</v>
      </c>
      <c r="B229" s="9" t="s">
        <v>415</v>
      </c>
      <c r="C229" s="36">
        <v>45947</v>
      </c>
      <c r="D229" s="36">
        <v>45948</v>
      </c>
      <c r="E229" s="9">
        <v>959</v>
      </c>
      <c r="F229" s="9">
        <v>844.82</v>
      </c>
      <c r="G229" s="9" t="s">
        <v>556</v>
      </c>
      <c r="H229" s="9" t="s">
        <v>555</v>
      </c>
    </row>
    <row r="230" spans="1:8" ht="14.25">
      <c r="A230" s="9">
        <v>123</v>
      </c>
      <c r="B230" s="9" t="s">
        <v>415</v>
      </c>
      <c r="C230" s="36">
        <v>45944</v>
      </c>
      <c r="D230" s="36">
        <v>45947</v>
      </c>
      <c r="E230" s="9">
        <v>933</v>
      </c>
      <c r="F230" s="9">
        <v>859.35</v>
      </c>
      <c r="G230" s="9" t="s">
        <v>556</v>
      </c>
      <c r="H230" s="9" t="s">
        <v>555</v>
      </c>
    </row>
    <row r="231" spans="1:8" ht="14.25">
      <c r="A231" s="9">
        <v>123</v>
      </c>
      <c r="B231" s="9" t="s">
        <v>415</v>
      </c>
      <c r="C231" s="36">
        <v>45895</v>
      </c>
      <c r="D231" s="36">
        <v>45896</v>
      </c>
      <c r="E231" s="9">
        <v>703</v>
      </c>
      <c r="F231" s="9">
        <v>844.82</v>
      </c>
      <c r="G231" s="9" t="s">
        <v>556</v>
      </c>
      <c r="H231" s="9" t="s">
        <v>555</v>
      </c>
    </row>
    <row r="232" spans="1:8" ht="14.25">
      <c r="A232" s="9" t="s">
        <v>557</v>
      </c>
      <c r="B232" s="9" t="s">
        <v>415</v>
      </c>
      <c r="C232" s="36">
        <v>45866</v>
      </c>
      <c r="D232" s="36">
        <v>45867</v>
      </c>
      <c r="E232" s="9">
        <v>511</v>
      </c>
      <c r="F232" s="9">
        <v>1288.8699999999999</v>
      </c>
      <c r="G232" s="9" t="s">
        <v>556</v>
      </c>
      <c r="H232" s="9" t="s">
        <v>555</v>
      </c>
    </row>
    <row r="233" spans="1:8" ht="14.25">
      <c r="A233" s="37" t="s">
        <v>398</v>
      </c>
      <c r="B233" s="38">
        <v>6</v>
      </c>
      <c r="C233" s="37"/>
      <c r="D233" s="37"/>
      <c r="E233" s="37"/>
      <c r="F233" s="38">
        <v>5542.03</v>
      </c>
      <c r="G233" s="37"/>
      <c r="H233" s="37"/>
    </row>
    <row r="234" spans="1:8" ht="14.25">
      <c r="A234" s="9">
        <v>123</v>
      </c>
      <c r="B234" s="9" t="s">
        <v>144</v>
      </c>
      <c r="C234" s="36">
        <v>46063</v>
      </c>
      <c r="D234" s="36">
        <v>46066</v>
      </c>
      <c r="E234" s="9">
        <v>1425</v>
      </c>
      <c r="F234" s="9">
        <v>185.56</v>
      </c>
      <c r="G234" s="9" t="s">
        <v>556</v>
      </c>
      <c r="H234" s="9" t="s">
        <v>555</v>
      </c>
    </row>
    <row r="235" spans="1:8" ht="14.25">
      <c r="A235" s="9">
        <v>123</v>
      </c>
      <c r="B235" s="9" t="s">
        <v>144</v>
      </c>
      <c r="C235" s="36">
        <v>46039</v>
      </c>
      <c r="D235" s="36">
        <v>46076</v>
      </c>
      <c r="E235" s="9">
        <v>1327</v>
      </c>
      <c r="F235" s="9">
        <v>370.83</v>
      </c>
      <c r="G235" s="9" t="s">
        <v>556</v>
      </c>
      <c r="H235" s="9" t="s">
        <v>555</v>
      </c>
    </row>
    <row r="236" spans="1:8" ht="14.25">
      <c r="A236" s="9">
        <v>45673</v>
      </c>
      <c r="B236" s="9" t="s">
        <v>143</v>
      </c>
      <c r="C236" s="35">
        <v>46060</v>
      </c>
      <c r="D236" s="36">
        <v>46064</v>
      </c>
      <c r="E236" s="9">
        <v>1408</v>
      </c>
      <c r="F236" s="9">
        <v>405.26</v>
      </c>
      <c r="G236" s="9" t="s">
        <v>554</v>
      </c>
      <c r="H236" s="9" t="s">
        <v>555</v>
      </c>
    </row>
    <row r="237" spans="1:8" ht="14.25">
      <c r="A237" s="9">
        <v>45673</v>
      </c>
      <c r="B237" s="9" t="s">
        <v>143</v>
      </c>
      <c r="C237" s="36">
        <v>46043</v>
      </c>
      <c r="D237" s="35">
        <v>46062</v>
      </c>
      <c r="E237" s="9">
        <v>1352</v>
      </c>
      <c r="F237" s="9">
        <v>405.26</v>
      </c>
      <c r="G237" s="9" t="s">
        <v>554</v>
      </c>
      <c r="H237" s="9" t="s">
        <v>555</v>
      </c>
    </row>
    <row r="238" spans="1:8" ht="14.25">
      <c r="A238" s="9">
        <v>45673</v>
      </c>
      <c r="B238" s="9" t="s">
        <v>143</v>
      </c>
      <c r="C238" s="36">
        <v>46042</v>
      </c>
      <c r="D238" s="35">
        <v>46062</v>
      </c>
      <c r="E238" s="9">
        <v>1344</v>
      </c>
      <c r="F238" s="9">
        <v>1012.71</v>
      </c>
      <c r="G238" s="9" t="s">
        <v>554</v>
      </c>
      <c r="H238" s="9" t="s">
        <v>555</v>
      </c>
    </row>
    <row r="239" spans="1:8" ht="14.25">
      <c r="A239" s="9">
        <v>45673</v>
      </c>
      <c r="B239" s="9" t="s">
        <v>143</v>
      </c>
      <c r="C239" s="36">
        <v>46034</v>
      </c>
      <c r="D239" s="36">
        <v>46051</v>
      </c>
      <c r="E239" s="9">
        <v>1299</v>
      </c>
      <c r="F239" s="9">
        <v>405.26</v>
      </c>
      <c r="G239" s="9" t="s">
        <v>554</v>
      </c>
      <c r="H239" s="9" t="s">
        <v>555</v>
      </c>
    </row>
    <row r="240" spans="1:8" ht="14.25">
      <c r="A240" s="9">
        <v>45673</v>
      </c>
      <c r="B240" s="9" t="s">
        <v>143</v>
      </c>
      <c r="C240" s="35">
        <v>46030</v>
      </c>
      <c r="D240" s="36">
        <v>46034</v>
      </c>
      <c r="E240" s="9">
        <v>1284</v>
      </c>
      <c r="F240" s="9">
        <v>618.19000000000005</v>
      </c>
      <c r="G240" s="9" t="s">
        <v>554</v>
      </c>
      <c r="H240" s="9" t="s">
        <v>555</v>
      </c>
    </row>
    <row r="241" spans="1:8" ht="14.25">
      <c r="A241" s="9">
        <v>45673</v>
      </c>
      <c r="B241" s="9" t="s">
        <v>143</v>
      </c>
      <c r="C241" s="35">
        <v>46027</v>
      </c>
      <c r="D241" s="35">
        <v>46028</v>
      </c>
      <c r="E241" s="9">
        <v>1265</v>
      </c>
      <c r="F241" s="9">
        <v>412.23</v>
      </c>
      <c r="G241" s="9" t="s">
        <v>554</v>
      </c>
      <c r="H241" s="9" t="s">
        <v>555</v>
      </c>
    </row>
    <row r="242" spans="1:8" ht="14.25">
      <c r="A242" s="9">
        <v>45673</v>
      </c>
      <c r="B242" s="9" t="s">
        <v>143</v>
      </c>
      <c r="C242" s="36">
        <v>46016</v>
      </c>
      <c r="D242" s="36">
        <v>46072</v>
      </c>
      <c r="E242" s="9">
        <v>1211</v>
      </c>
      <c r="F242" s="9">
        <v>412.23</v>
      </c>
      <c r="G242" s="9" t="s">
        <v>554</v>
      </c>
      <c r="H242" s="9" t="s">
        <v>555</v>
      </c>
    </row>
    <row r="243" spans="1:8" ht="14.25">
      <c r="A243" s="9">
        <v>45673</v>
      </c>
      <c r="B243" s="9" t="s">
        <v>143</v>
      </c>
      <c r="C243" s="36">
        <v>46015</v>
      </c>
      <c r="D243" s="35">
        <v>46027</v>
      </c>
      <c r="E243" s="9">
        <v>1207</v>
      </c>
      <c r="F243" s="9">
        <v>810.23</v>
      </c>
      <c r="G243" s="9" t="s">
        <v>554</v>
      </c>
      <c r="H243" s="9" t="s">
        <v>555</v>
      </c>
    </row>
    <row r="244" spans="1:8" ht="14.25">
      <c r="A244" s="9">
        <v>45673</v>
      </c>
      <c r="B244" s="9" t="s">
        <v>143</v>
      </c>
      <c r="C244" s="36">
        <v>46011</v>
      </c>
      <c r="D244" s="36">
        <v>46013</v>
      </c>
      <c r="E244" s="9">
        <v>1195</v>
      </c>
      <c r="F244" s="9">
        <v>1012.71</v>
      </c>
      <c r="G244" s="9" t="s">
        <v>554</v>
      </c>
      <c r="H244" s="9" t="s">
        <v>555</v>
      </c>
    </row>
    <row r="245" spans="1:8" ht="14.25">
      <c r="A245" s="9">
        <v>45673</v>
      </c>
      <c r="B245" s="9" t="s">
        <v>143</v>
      </c>
      <c r="C245" s="35">
        <v>46000</v>
      </c>
      <c r="D245" s="36">
        <v>46003</v>
      </c>
      <c r="E245" s="9">
        <v>1155</v>
      </c>
      <c r="F245" s="9">
        <v>412.23</v>
      </c>
      <c r="G245" s="9" t="s">
        <v>554</v>
      </c>
      <c r="H245" s="9" t="s">
        <v>555</v>
      </c>
    </row>
    <row r="246" spans="1:8" ht="14.25">
      <c r="A246" s="9">
        <v>45673</v>
      </c>
      <c r="B246" s="9" t="s">
        <v>143</v>
      </c>
      <c r="C246" s="35">
        <v>45966</v>
      </c>
      <c r="D246" s="35">
        <v>45970</v>
      </c>
      <c r="E246" s="9">
        <v>1037</v>
      </c>
      <c r="F246" s="9">
        <v>405.26</v>
      </c>
      <c r="G246" s="9" t="s">
        <v>554</v>
      </c>
      <c r="H246" s="9" t="s">
        <v>555</v>
      </c>
    </row>
    <row r="247" spans="1:8" ht="14.25">
      <c r="A247" s="9">
        <v>45673</v>
      </c>
      <c r="B247" s="9" t="s">
        <v>143</v>
      </c>
      <c r="C247" s="36">
        <v>45949</v>
      </c>
      <c r="D247" s="36">
        <v>45951</v>
      </c>
      <c r="E247" s="9">
        <v>971</v>
      </c>
      <c r="F247" s="9">
        <v>405.26</v>
      </c>
      <c r="G247" s="9" t="s">
        <v>554</v>
      </c>
      <c r="H247" s="9" t="s">
        <v>555</v>
      </c>
    </row>
    <row r="248" spans="1:8" ht="14.25">
      <c r="A248" s="9">
        <v>45673</v>
      </c>
      <c r="B248" s="9" t="s">
        <v>143</v>
      </c>
      <c r="C248" s="35">
        <v>45937</v>
      </c>
      <c r="D248" s="36">
        <v>46043</v>
      </c>
      <c r="E248" s="9">
        <v>901</v>
      </c>
      <c r="F248" s="9">
        <v>412.23</v>
      </c>
      <c r="G248" s="9" t="s">
        <v>554</v>
      </c>
      <c r="H248" s="9" t="s">
        <v>555</v>
      </c>
    </row>
    <row r="249" spans="1:8" ht="14.25">
      <c r="A249" s="9">
        <v>45673</v>
      </c>
      <c r="B249" s="9" t="s">
        <v>143</v>
      </c>
      <c r="C249" s="35">
        <v>45934</v>
      </c>
      <c r="D249" s="36">
        <v>45960</v>
      </c>
      <c r="E249" s="9">
        <v>888</v>
      </c>
      <c r="F249" s="9">
        <v>412.23</v>
      </c>
      <c r="G249" s="9" t="s">
        <v>554</v>
      </c>
      <c r="H249" s="9" t="s">
        <v>555</v>
      </c>
    </row>
    <row r="250" spans="1:8" ht="14.25">
      <c r="A250" s="9">
        <v>45673</v>
      </c>
      <c r="B250" s="9" t="s">
        <v>143</v>
      </c>
      <c r="C250" s="35">
        <v>45934</v>
      </c>
      <c r="D250" s="35">
        <v>45935</v>
      </c>
      <c r="E250" s="9">
        <v>887</v>
      </c>
      <c r="F250" s="9">
        <v>405.26</v>
      </c>
      <c r="G250" s="9" t="s">
        <v>554</v>
      </c>
      <c r="H250" s="9" t="s">
        <v>555</v>
      </c>
    </row>
    <row r="251" spans="1:8" ht="14.25">
      <c r="A251" s="9">
        <v>45673</v>
      </c>
      <c r="B251" s="9" t="s">
        <v>143</v>
      </c>
      <c r="C251" s="35">
        <v>45934</v>
      </c>
      <c r="D251" s="35">
        <v>45935</v>
      </c>
      <c r="E251" s="9">
        <v>886</v>
      </c>
      <c r="F251" s="9">
        <v>206.26</v>
      </c>
      <c r="G251" s="9" t="s">
        <v>554</v>
      </c>
      <c r="H251" s="9" t="s">
        <v>555</v>
      </c>
    </row>
    <row r="252" spans="1:8" ht="14.25">
      <c r="A252" s="9">
        <v>45673</v>
      </c>
      <c r="B252" s="9" t="s">
        <v>143</v>
      </c>
      <c r="C252" s="35">
        <v>45931</v>
      </c>
      <c r="D252" s="36">
        <v>45954</v>
      </c>
      <c r="E252" s="9">
        <v>873</v>
      </c>
      <c r="F252" s="9">
        <v>405.26</v>
      </c>
      <c r="G252" s="9" t="s">
        <v>554</v>
      </c>
      <c r="H252" s="9" t="s">
        <v>555</v>
      </c>
    </row>
    <row r="253" spans="1:8" ht="14.25">
      <c r="A253" s="9">
        <v>45673</v>
      </c>
      <c r="B253" s="9" t="s">
        <v>143</v>
      </c>
      <c r="C253" s="36">
        <v>45920</v>
      </c>
      <c r="D253" s="36">
        <v>45922</v>
      </c>
      <c r="E253" s="9">
        <v>820</v>
      </c>
      <c r="F253" s="9">
        <v>661.67</v>
      </c>
      <c r="G253" s="9" t="s">
        <v>554</v>
      </c>
      <c r="H253" s="9" t="s">
        <v>555</v>
      </c>
    </row>
    <row r="254" spans="1:8" ht="14.25">
      <c r="A254" s="9">
        <v>45673</v>
      </c>
      <c r="B254" s="9" t="s">
        <v>143</v>
      </c>
      <c r="C254" s="36">
        <v>45920</v>
      </c>
      <c r="D254" s="35">
        <v>45932</v>
      </c>
      <c r="E254" s="9">
        <v>819</v>
      </c>
      <c r="F254" s="9">
        <v>206.26</v>
      </c>
      <c r="G254" s="9" t="s">
        <v>554</v>
      </c>
      <c r="H254" s="9" t="s">
        <v>555</v>
      </c>
    </row>
    <row r="255" spans="1:8" ht="14.25">
      <c r="A255" s="9">
        <v>123</v>
      </c>
      <c r="B255" s="9" t="s">
        <v>143</v>
      </c>
      <c r="C255" s="35">
        <v>45876</v>
      </c>
      <c r="D255" s="35">
        <v>45908</v>
      </c>
      <c r="E255" s="9">
        <v>577</v>
      </c>
      <c r="F255" s="9">
        <v>412.23</v>
      </c>
      <c r="G255" s="9" t="s">
        <v>554</v>
      </c>
      <c r="H255" s="9" t="s">
        <v>555</v>
      </c>
    </row>
    <row r="256" spans="1:8" ht="14.25">
      <c r="A256" s="9">
        <v>123</v>
      </c>
      <c r="B256" s="9" t="s">
        <v>143</v>
      </c>
      <c r="C256" s="35">
        <v>45871</v>
      </c>
      <c r="D256" s="35">
        <v>45872</v>
      </c>
      <c r="E256" s="9">
        <v>539</v>
      </c>
      <c r="F256" s="9">
        <v>405.26</v>
      </c>
      <c r="G256" s="9" t="s">
        <v>554</v>
      </c>
      <c r="H256" s="9" t="s">
        <v>555</v>
      </c>
    </row>
    <row r="257" spans="1:8" ht="14.25">
      <c r="A257" s="9">
        <v>123</v>
      </c>
      <c r="B257" s="9" t="s">
        <v>143</v>
      </c>
      <c r="C257" s="36">
        <v>45859</v>
      </c>
      <c r="D257" s="35">
        <v>45909</v>
      </c>
      <c r="E257" s="9">
        <v>452</v>
      </c>
      <c r="F257" s="9">
        <v>370.83</v>
      </c>
      <c r="G257" s="9" t="s">
        <v>554</v>
      </c>
      <c r="H257" s="9" t="s">
        <v>555</v>
      </c>
    </row>
    <row r="258" spans="1:8" ht="14.25">
      <c r="A258" s="9">
        <v>123</v>
      </c>
      <c r="B258" s="9" t="s">
        <v>143</v>
      </c>
      <c r="C258" s="36">
        <v>45854</v>
      </c>
      <c r="D258" s="35">
        <v>45909</v>
      </c>
      <c r="E258" s="9">
        <v>445</v>
      </c>
      <c r="F258" s="9">
        <v>364.56</v>
      </c>
      <c r="G258" s="9" t="s">
        <v>554</v>
      </c>
      <c r="H258" s="9" t="s">
        <v>555</v>
      </c>
    </row>
    <row r="259" spans="1:8" ht="14.25">
      <c r="A259" s="9">
        <v>123</v>
      </c>
      <c r="B259" s="9" t="s">
        <v>143</v>
      </c>
      <c r="C259" s="35">
        <v>45843</v>
      </c>
      <c r="D259" s="36">
        <v>45848</v>
      </c>
      <c r="E259" s="9">
        <v>373</v>
      </c>
      <c r="F259" s="9">
        <v>809.04</v>
      </c>
      <c r="G259" s="9" t="s">
        <v>554</v>
      </c>
      <c r="H259" s="9" t="s">
        <v>555</v>
      </c>
    </row>
    <row r="260" spans="1:8" ht="14.25">
      <c r="A260" s="37" t="s">
        <v>398</v>
      </c>
      <c r="B260" s="38">
        <v>26</v>
      </c>
      <c r="C260" s="37"/>
      <c r="D260" s="37"/>
      <c r="E260" s="37"/>
      <c r="F260" s="38">
        <v>12344.31</v>
      </c>
      <c r="G260" s="37"/>
      <c r="H260" s="37"/>
    </row>
    <row r="261" spans="1:8" ht="14.25">
      <c r="A261" s="9">
        <v>45673</v>
      </c>
      <c r="B261" s="9" t="s">
        <v>422</v>
      </c>
      <c r="C261" s="36">
        <v>46040</v>
      </c>
      <c r="D261" s="35">
        <v>46055</v>
      </c>
      <c r="E261" s="9">
        <v>1333</v>
      </c>
      <c r="F261" s="9">
        <v>511.59</v>
      </c>
      <c r="G261" s="9" t="s">
        <v>554</v>
      </c>
      <c r="H261" s="9" t="s">
        <v>555</v>
      </c>
    </row>
    <row r="262" spans="1:8" ht="14.25">
      <c r="A262" s="9">
        <v>45673</v>
      </c>
      <c r="B262" s="9" t="s">
        <v>422</v>
      </c>
      <c r="C262" s="35">
        <v>45907</v>
      </c>
      <c r="D262" s="35">
        <v>45931</v>
      </c>
      <c r="E262" s="9">
        <v>762</v>
      </c>
      <c r="F262" s="9">
        <v>590.45000000000005</v>
      </c>
      <c r="G262" s="9" t="s">
        <v>554</v>
      </c>
      <c r="H262" s="9" t="s">
        <v>555</v>
      </c>
    </row>
    <row r="263" spans="1:8" ht="14.25">
      <c r="A263" s="37" t="s">
        <v>398</v>
      </c>
      <c r="B263" s="38">
        <v>2</v>
      </c>
      <c r="C263" s="37"/>
      <c r="D263" s="37"/>
      <c r="E263" s="37"/>
      <c r="F263" s="38">
        <v>1102.04</v>
      </c>
      <c r="G263" s="37"/>
      <c r="H263" s="37"/>
    </row>
    <row r="264" spans="1:8" ht="14.25">
      <c r="A264" s="9">
        <v>123</v>
      </c>
      <c r="B264" s="9" t="s">
        <v>562</v>
      </c>
      <c r="C264" s="36">
        <v>45837</v>
      </c>
      <c r="D264" s="36">
        <v>45885</v>
      </c>
      <c r="E264" s="9">
        <v>298</v>
      </c>
      <c r="F264" s="9">
        <v>167.94</v>
      </c>
      <c r="G264" s="9" t="s">
        <v>554</v>
      </c>
      <c r="H264" s="9" t="s">
        <v>555</v>
      </c>
    </row>
    <row r="265" spans="1:8" ht="14.25">
      <c r="A265" s="9">
        <v>123</v>
      </c>
      <c r="B265" s="9" t="s">
        <v>562</v>
      </c>
      <c r="C265" s="36">
        <v>45837</v>
      </c>
      <c r="D265" s="36">
        <v>45890</v>
      </c>
      <c r="E265" s="9">
        <v>297</v>
      </c>
      <c r="F265" s="9">
        <v>167.94</v>
      </c>
      <c r="G265" s="9" t="s">
        <v>554</v>
      </c>
      <c r="H265" s="9" t="s">
        <v>555</v>
      </c>
    </row>
    <row r="266" spans="1:8" ht="14.25">
      <c r="A266" s="9">
        <v>123</v>
      </c>
      <c r="B266" s="9" t="s">
        <v>562</v>
      </c>
      <c r="C266" s="36">
        <v>45832</v>
      </c>
      <c r="D266" s="36">
        <v>45929</v>
      </c>
      <c r="E266" s="9">
        <v>272</v>
      </c>
      <c r="F266" s="9">
        <v>208.58</v>
      </c>
      <c r="G266" s="9" t="s">
        <v>554</v>
      </c>
      <c r="H266" s="9" t="s">
        <v>555</v>
      </c>
    </row>
    <row r="267" spans="1:8" ht="14.25">
      <c r="A267" s="9">
        <v>45673</v>
      </c>
      <c r="B267" s="9" t="s">
        <v>135</v>
      </c>
      <c r="C267" s="35">
        <v>46060</v>
      </c>
      <c r="D267" s="36">
        <v>46072</v>
      </c>
      <c r="E267" s="9">
        <v>1409</v>
      </c>
      <c r="F267" s="9">
        <v>619.23</v>
      </c>
      <c r="G267" s="9" t="s">
        <v>554</v>
      </c>
      <c r="H267" s="9" t="s">
        <v>555</v>
      </c>
    </row>
    <row r="268" spans="1:8" ht="14.25">
      <c r="A268" s="9">
        <v>45673</v>
      </c>
      <c r="B268" s="9" t="s">
        <v>135</v>
      </c>
      <c r="C268" s="36">
        <v>46042</v>
      </c>
      <c r="D268" s="35">
        <v>46086</v>
      </c>
      <c r="E268" s="9">
        <v>1346</v>
      </c>
      <c r="F268" s="9">
        <v>1420.32</v>
      </c>
      <c r="G268" s="9" t="s">
        <v>554</v>
      </c>
      <c r="H268" s="9" t="s">
        <v>555</v>
      </c>
    </row>
    <row r="269" spans="1:8" ht="14.25">
      <c r="A269" s="9">
        <v>45673</v>
      </c>
      <c r="B269" s="9" t="s">
        <v>135</v>
      </c>
      <c r="C269" s="36">
        <v>46041</v>
      </c>
      <c r="D269" s="36">
        <v>46104</v>
      </c>
      <c r="E269" s="9">
        <v>1336</v>
      </c>
      <c r="F269" s="9">
        <v>608.76</v>
      </c>
      <c r="G269" s="9" t="s">
        <v>554</v>
      </c>
      <c r="H269" s="9" t="s">
        <v>555</v>
      </c>
    </row>
    <row r="270" spans="1:8" ht="14.25">
      <c r="A270" s="9">
        <v>45673</v>
      </c>
      <c r="B270" s="9" t="s">
        <v>135</v>
      </c>
      <c r="C270" s="36">
        <v>46039</v>
      </c>
      <c r="D270" s="36">
        <v>46044</v>
      </c>
      <c r="E270" s="9">
        <v>1326</v>
      </c>
      <c r="F270" s="9">
        <v>783.77</v>
      </c>
      <c r="G270" s="9" t="s">
        <v>554</v>
      </c>
      <c r="H270" s="9" t="s">
        <v>555</v>
      </c>
    </row>
    <row r="271" spans="1:8" ht="14.25">
      <c r="A271" s="9">
        <v>45673</v>
      </c>
      <c r="B271" s="9" t="s">
        <v>135</v>
      </c>
      <c r="C271" s="36">
        <v>46039</v>
      </c>
      <c r="D271" s="36">
        <v>46044</v>
      </c>
      <c r="E271" s="9">
        <v>1325</v>
      </c>
      <c r="F271" s="9">
        <v>783.77</v>
      </c>
      <c r="G271" s="9" t="s">
        <v>554</v>
      </c>
      <c r="H271" s="9" t="s">
        <v>555</v>
      </c>
    </row>
    <row r="272" spans="1:8" ht="14.25">
      <c r="A272" s="9">
        <v>45673</v>
      </c>
      <c r="B272" s="9" t="s">
        <v>135</v>
      </c>
      <c r="C272" s="36">
        <v>46038</v>
      </c>
      <c r="D272" s="36">
        <v>46066</v>
      </c>
      <c r="E272" s="9">
        <v>1318</v>
      </c>
      <c r="F272" s="9">
        <v>619.23</v>
      </c>
      <c r="G272" s="9" t="s">
        <v>554</v>
      </c>
      <c r="H272" s="9" t="s">
        <v>555</v>
      </c>
    </row>
    <row r="273" spans="1:8" ht="14.25">
      <c r="A273" s="9">
        <v>45673</v>
      </c>
      <c r="B273" s="9" t="s">
        <v>135</v>
      </c>
      <c r="C273" s="36">
        <v>46004</v>
      </c>
      <c r="D273" s="36">
        <v>46012</v>
      </c>
      <c r="E273" s="9">
        <v>1166</v>
      </c>
      <c r="F273" s="9">
        <v>783.77</v>
      </c>
      <c r="G273" s="9" t="s">
        <v>554</v>
      </c>
      <c r="H273" s="9" t="s">
        <v>555</v>
      </c>
    </row>
    <row r="274" spans="1:8" ht="14.25">
      <c r="A274" s="9">
        <v>45673</v>
      </c>
      <c r="B274" s="9" t="s">
        <v>135</v>
      </c>
      <c r="C274" s="35">
        <v>46000</v>
      </c>
      <c r="D274" s="36">
        <v>46004</v>
      </c>
      <c r="E274" s="9">
        <v>1154</v>
      </c>
      <c r="F274" s="9">
        <v>471.4</v>
      </c>
      <c r="G274" s="9" t="s">
        <v>554</v>
      </c>
      <c r="H274" s="9" t="s">
        <v>555</v>
      </c>
    </row>
    <row r="275" spans="1:8" ht="14.25">
      <c r="A275" s="9">
        <v>45673</v>
      </c>
      <c r="B275" s="9" t="s">
        <v>135</v>
      </c>
      <c r="C275" s="35">
        <v>46000</v>
      </c>
      <c r="D275" s="36">
        <v>46004</v>
      </c>
      <c r="E275" s="9">
        <v>1153</v>
      </c>
      <c r="F275" s="9">
        <v>1088</v>
      </c>
      <c r="G275" s="9" t="s">
        <v>554</v>
      </c>
      <c r="H275" s="9" t="s">
        <v>555</v>
      </c>
    </row>
    <row r="276" spans="1:8" ht="14.25">
      <c r="A276" s="9">
        <v>45673</v>
      </c>
      <c r="B276" s="9" t="s">
        <v>135</v>
      </c>
      <c r="C276" s="35">
        <v>45996</v>
      </c>
      <c r="D276" s="35">
        <v>45998</v>
      </c>
      <c r="E276" s="9">
        <v>1138</v>
      </c>
      <c r="F276" s="9">
        <v>332.53</v>
      </c>
      <c r="G276" s="9" t="s">
        <v>554</v>
      </c>
      <c r="H276" s="9" t="s">
        <v>555</v>
      </c>
    </row>
    <row r="277" spans="1:8" ht="14.25">
      <c r="A277" s="9">
        <v>45673</v>
      </c>
      <c r="B277" s="9" t="s">
        <v>135</v>
      </c>
      <c r="C277" s="35">
        <v>45992</v>
      </c>
      <c r="D277" s="35">
        <v>46024</v>
      </c>
      <c r="E277" s="9">
        <v>1122</v>
      </c>
      <c r="F277" s="9">
        <v>912.99</v>
      </c>
      <c r="G277" s="9" t="s">
        <v>554</v>
      </c>
      <c r="H277" s="9" t="s">
        <v>555</v>
      </c>
    </row>
    <row r="278" spans="1:8" ht="14.25">
      <c r="A278" s="9">
        <v>45673</v>
      </c>
      <c r="B278" s="9" t="s">
        <v>135</v>
      </c>
      <c r="C278" s="36">
        <v>45983</v>
      </c>
      <c r="D278" s="36">
        <v>46018</v>
      </c>
      <c r="E278" s="9">
        <v>1092</v>
      </c>
      <c r="F278" s="9">
        <v>2476.02</v>
      </c>
      <c r="G278" s="9" t="s">
        <v>554</v>
      </c>
      <c r="H278" s="9" t="s">
        <v>555</v>
      </c>
    </row>
    <row r="279" spans="1:8" ht="14.25">
      <c r="A279" s="9">
        <v>45673</v>
      </c>
      <c r="B279" s="9" t="s">
        <v>135</v>
      </c>
      <c r="C279" s="36">
        <v>45981</v>
      </c>
      <c r="D279" s="35">
        <v>46028</v>
      </c>
      <c r="E279" s="9">
        <v>1084</v>
      </c>
      <c r="F279" s="9">
        <v>691.68</v>
      </c>
      <c r="G279" s="9" t="s">
        <v>554</v>
      </c>
      <c r="H279" s="9" t="s">
        <v>555</v>
      </c>
    </row>
    <row r="280" spans="1:8" ht="14.25">
      <c r="A280" s="9">
        <v>45673</v>
      </c>
      <c r="B280" s="9" t="s">
        <v>135</v>
      </c>
      <c r="C280" s="36">
        <v>45973</v>
      </c>
      <c r="D280" s="36">
        <v>46047</v>
      </c>
      <c r="E280" s="9">
        <v>1056</v>
      </c>
      <c r="F280" s="9">
        <v>1238.1600000000001</v>
      </c>
      <c r="G280" s="9" t="s">
        <v>554</v>
      </c>
      <c r="H280" s="9" t="s">
        <v>555</v>
      </c>
    </row>
    <row r="281" spans="1:8" ht="14.25">
      <c r="A281" s="9">
        <v>45673</v>
      </c>
      <c r="B281" s="9" t="s">
        <v>135</v>
      </c>
      <c r="C281" s="36">
        <v>45959</v>
      </c>
      <c r="D281" s="36">
        <v>46011</v>
      </c>
      <c r="E281" s="9">
        <v>1017</v>
      </c>
      <c r="F281" s="9">
        <v>679.99</v>
      </c>
      <c r="G281" s="9" t="s">
        <v>554</v>
      </c>
      <c r="H281" s="9" t="s">
        <v>555</v>
      </c>
    </row>
    <row r="282" spans="1:8" ht="14.25">
      <c r="A282" s="9">
        <v>123</v>
      </c>
      <c r="B282" s="9" t="s">
        <v>135</v>
      </c>
      <c r="C282" s="36">
        <v>45957</v>
      </c>
      <c r="D282" s="36">
        <v>45958</v>
      </c>
      <c r="E282" s="9">
        <v>1012</v>
      </c>
      <c r="F282" s="9">
        <v>1088</v>
      </c>
      <c r="G282" s="9" t="s">
        <v>554</v>
      </c>
      <c r="H282" s="9" t="s">
        <v>555</v>
      </c>
    </row>
    <row r="283" spans="1:8" ht="14.25">
      <c r="A283" s="9">
        <v>45673</v>
      </c>
      <c r="B283" s="9" t="s">
        <v>135</v>
      </c>
      <c r="C283" s="36">
        <v>45940</v>
      </c>
      <c r="D283" s="36">
        <v>45942</v>
      </c>
      <c r="E283" s="9">
        <v>915</v>
      </c>
      <c r="F283" s="9">
        <v>1079.8599999999999</v>
      </c>
      <c r="G283" s="9" t="s">
        <v>554</v>
      </c>
      <c r="H283" s="9" t="s">
        <v>555</v>
      </c>
    </row>
    <row r="284" spans="1:8" ht="14.25">
      <c r="A284" s="9">
        <v>45673</v>
      </c>
      <c r="B284" s="9" t="s">
        <v>135</v>
      </c>
      <c r="C284" s="35">
        <v>45937</v>
      </c>
      <c r="D284" s="35">
        <v>45939</v>
      </c>
      <c r="E284" s="9">
        <v>903</v>
      </c>
      <c r="F284" s="9">
        <v>1988.49</v>
      </c>
      <c r="G284" s="9" t="s">
        <v>554</v>
      </c>
      <c r="H284" s="9" t="s">
        <v>555</v>
      </c>
    </row>
    <row r="285" spans="1:8" ht="14.25">
      <c r="A285" s="9">
        <v>45673</v>
      </c>
      <c r="B285" s="9" t="s">
        <v>135</v>
      </c>
      <c r="C285" s="36">
        <v>45930</v>
      </c>
      <c r="D285" s="9"/>
      <c r="E285" s="9">
        <v>863</v>
      </c>
      <c r="F285" s="9">
        <v>950.64</v>
      </c>
      <c r="G285" s="9" t="s">
        <v>554</v>
      </c>
      <c r="H285" s="9" t="s">
        <v>555</v>
      </c>
    </row>
    <row r="286" spans="1:8" ht="14.25">
      <c r="A286" s="9">
        <v>45673</v>
      </c>
      <c r="B286" s="9" t="s">
        <v>135</v>
      </c>
      <c r="C286" s="36">
        <v>45930</v>
      </c>
      <c r="D286" s="35">
        <v>45963</v>
      </c>
      <c r="E286" s="9">
        <v>860</v>
      </c>
      <c r="F286" s="9">
        <v>1217.23</v>
      </c>
      <c r="G286" s="9" t="s">
        <v>554</v>
      </c>
      <c r="H286" s="9" t="s">
        <v>555</v>
      </c>
    </row>
    <row r="287" spans="1:8" ht="14.25">
      <c r="A287" s="9">
        <v>45673</v>
      </c>
      <c r="B287" s="9" t="s">
        <v>135</v>
      </c>
      <c r="C287" s="36">
        <v>45926</v>
      </c>
      <c r="D287" s="36">
        <v>45956</v>
      </c>
      <c r="E287" s="9">
        <v>837</v>
      </c>
      <c r="F287" s="9">
        <v>608.76</v>
      </c>
      <c r="G287" s="9" t="s">
        <v>554</v>
      </c>
      <c r="H287" s="9" t="s">
        <v>555</v>
      </c>
    </row>
    <row r="288" spans="1:8" ht="14.25">
      <c r="A288" s="9">
        <v>45673</v>
      </c>
      <c r="B288" s="9" t="s">
        <v>135</v>
      </c>
      <c r="C288" s="36">
        <v>45921</v>
      </c>
      <c r="D288" s="36">
        <v>45927</v>
      </c>
      <c r="E288" s="9">
        <v>822</v>
      </c>
      <c r="F288" s="9">
        <v>912.99</v>
      </c>
      <c r="G288" s="9" t="s">
        <v>554</v>
      </c>
      <c r="H288" s="9" t="s">
        <v>555</v>
      </c>
    </row>
    <row r="289" spans="1:8" ht="14.25">
      <c r="A289" s="9">
        <v>45673</v>
      </c>
      <c r="B289" s="9" t="s">
        <v>135</v>
      </c>
      <c r="C289" s="36">
        <v>45912</v>
      </c>
      <c r="D289" s="36">
        <v>45914</v>
      </c>
      <c r="E289" s="9">
        <v>787</v>
      </c>
      <c r="F289" s="9">
        <v>928.69</v>
      </c>
      <c r="G289" s="9" t="s">
        <v>554</v>
      </c>
      <c r="H289" s="9" t="s">
        <v>555</v>
      </c>
    </row>
    <row r="290" spans="1:8" ht="14.25">
      <c r="A290" s="9">
        <v>45673</v>
      </c>
      <c r="B290" s="9" t="s">
        <v>135</v>
      </c>
      <c r="C290" s="35">
        <v>45902</v>
      </c>
      <c r="D290" s="35">
        <v>45903</v>
      </c>
      <c r="E290" s="9">
        <v>733</v>
      </c>
      <c r="F290" s="9">
        <v>471.4</v>
      </c>
      <c r="G290" s="9" t="s">
        <v>554</v>
      </c>
      <c r="H290" s="9" t="s">
        <v>555</v>
      </c>
    </row>
    <row r="291" spans="1:8" ht="14.25">
      <c r="A291" s="9">
        <v>45673</v>
      </c>
      <c r="B291" s="9" t="s">
        <v>135</v>
      </c>
      <c r="C291" s="36">
        <v>45898</v>
      </c>
      <c r="D291" s="36">
        <v>45921</v>
      </c>
      <c r="E291" s="9">
        <v>718</v>
      </c>
      <c r="F291" s="9">
        <v>1019.83</v>
      </c>
      <c r="G291" s="9" t="s">
        <v>554</v>
      </c>
      <c r="H291" s="9" t="s">
        <v>555</v>
      </c>
    </row>
    <row r="292" spans="1:8" ht="14.25">
      <c r="A292" s="9">
        <v>123</v>
      </c>
      <c r="B292" s="9" t="s">
        <v>135</v>
      </c>
      <c r="C292" s="36">
        <v>45884</v>
      </c>
      <c r="D292" s="36">
        <v>45895</v>
      </c>
      <c r="E292" s="9">
        <v>635</v>
      </c>
      <c r="F292" s="9">
        <v>2376.66</v>
      </c>
      <c r="G292" s="9" t="s">
        <v>554</v>
      </c>
      <c r="H292" s="9" t="s">
        <v>555</v>
      </c>
    </row>
    <row r="293" spans="1:8" ht="14.25">
      <c r="A293" s="9">
        <v>123</v>
      </c>
      <c r="B293" s="9" t="s">
        <v>135</v>
      </c>
      <c r="C293" s="36">
        <v>45879</v>
      </c>
      <c r="D293" s="36">
        <v>46004</v>
      </c>
      <c r="E293" s="9">
        <v>599</v>
      </c>
      <c r="F293" s="9">
        <v>345.99</v>
      </c>
      <c r="G293" s="9" t="s">
        <v>554</v>
      </c>
      <c r="H293" s="9" t="s">
        <v>555</v>
      </c>
    </row>
    <row r="294" spans="1:8" ht="14.25">
      <c r="A294" s="9">
        <v>123</v>
      </c>
      <c r="B294" s="9" t="s">
        <v>135</v>
      </c>
      <c r="C294" s="35">
        <v>45873</v>
      </c>
      <c r="D294" s="35">
        <v>45906</v>
      </c>
      <c r="E294" s="9">
        <v>548</v>
      </c>
      <c r="F294" s="9">
        <v>783.77</v>
      </c>
      <c r="G294" s="9" t="s">
        <v>554</v>
      </c>
      <c r="H294" s="9" t="s">
        <v>555</v>
      </c>
    </row>
    <row r="295" spans="1:8" ht="14.25">
      <c r="A295" s="9">
        <v>123</v>
      </c>
      <c r="B295" s="9" t="s">
        <v>135</v>
      </c>
      <c r="C295" s="36">
        <v>45865</v>
      </c>
      <c r="D295" s="35">
        <v>45870</v>
      </c>
      <c r="E295" s="9">
        <v>507</v>
      </c>
      <c r="F295" s="9">
        <v>963</v>
      </c>
      <c r="G295" s="9" t="s">
        <v>554</v>
      </c>
      <c r="H295" s="9" t="s">
        <v>555</v>
      </c>
    </row>
    <row r="296" spans="1:8" ht="14.25">
      <c r="A296" s="9">
        <v>123</v>
      </c>
      <c r="B296" s="9" t="s">
        <v>135</v>
      </c>
      <c r="C296" s="36">
        <v>45858</v>
      </c>
      <c r="D296" s="36">
        <v>45930</v>
      </c>
      <c r="E296" s="9">
        <v>463</v>
      </c>
      <c r="F296" s="9">
        <v>679.99</v>
      </c>
      <c r="G296" s="9" t="s">
        <v>554</v>
      </c>
      <c r="H296" s="9" t="s">
        <v>555</v>
      </c>
    </row>
    <row r="297" spans="1:8" ht="14.25">
      <c r="A297" s="9">
        <v>123</v>
      </c>
      <c r="B297" s="9" t="s">
        <v>135</v>
      </c>
      <c r="C297" s="36">
        <v>45848</v>
      </c>
      <c r="D297" s="36">
        <v>45852</v>
      </c>
      <c r="E297" s="9">
        <v>407</v>
      </c>
      <c r="F297" s="9">
        <v>1768.71</v>
      </c>
      <c r="G297" s="9" t="s">
        <v>554</v>
      </c>
      <c r="H297" s="9" t="s">
        <v>555</v>
      </c>
    </row>
    <row r="298" spans="1:8" ht="14.25">
      <c r="A298" s="9">
        <v>123</v>
      </c>
      <c r="B298" s="9" t="s">
        <v>135</v>
      </c>
      <c r="C298" s="35">
        <v>45843</v>
      </c>
      <c r="D298" s="36">
        <v>45848</v>
      </c>
      <c r="E298" s="9">
        <v>375</v>
      </c>
      <c r="F298" s="9">
        <v>851.71</v>
      </c>
      <c r="G298" s="9" t="s">
        <v>554</v>
      </c>
      <c r="H298" s="9" t="s">
        <v>555</v>
      </c>
    </row>
    <row r="299" spans="1:8" ht="14.25">
      <c r="A299" s="9">
        <v>45673</v>
      </c>
      <c r="B299" s="9" t="s">
        <v>141</v>
      </c>
      <c r="C299" s="36">
        <v>46038</v>
      </c>
      <c r="D299" s="36">
        <v>46039</v>
      </c>
      <c r="E299" s="9">
        <v>1315</v>
      </c>
      <c r="F299" s="9">
        <v>575.76</v>
      </c>
      <c r="G299" s="9" t="s">
        <v>554</v>
      </c>
      <c r="H299" s="9" t="s">
        <v>555</v>
      </c>
    </row>
    <row r="300" spans="1:8" ht="14.25">
      <c r="A300" s="9">
        <v>45673</v>
      </c>
      <c r="B300" s="9" t="s">
        <v>138</v>
      </c>
      <c r="C300" s="35">
        <v>45931</v>
      </c>
      <c r="D300" s="35">
        <v>45932</v>
      </c>
      <c r="E300" s="9">
        <v>867</v>
      </c>
      <c r="F300" s="9">
        <v>252.84</v>
      </c>
      <c r="G300" s="9" t="s">
        <v>554</v>
      </c>
      <c r="H300" s="9" t="s">
        <v>555</v>
      </c>
    </row>
    <row r="301" spans="1:8" ht="14.25">
      <c r="A301" s="9">
        <v>45673</v>
      </c>
      <c r="B301" s="9" t="s">
        <v>137</v>
      </c>
      <c r="C301" s="36">
        <v>45900</v>
      </c>
      <c r="D301" s="35">
        <v>45901</v>
      </c>
      <c r="E301" s="9">
        <v>722</v>
      </c>
      <c r="F301" s="9">
        <v>321.83</v>
      </c>
      <c r="G301" s="9" t="s">
        <v>554</v>
      </c>
      <c r="H301" s="9" t="s">
        <v>555</v>
      </c>
    </row>
    <row r="302" spans="1:8" ht="14.25">
      <c r="A302" s="9">
        <v>45673</v>
      </c>
      <c r="B302" s="9" t="s">
        <v>485</v>
      </c>
      <c r="C302" s="36">
        <v>45990</v>
      </c>
      <c r="D302" s="36">
        <v>46112</v>
      </c>
      <c r="E302" s="9">
        <v>1117</v>
      </c>
      <c r="F302" s="9">
        <v>474.33</v>
      </c>
      <c r="G302" s="9" t="s">
        <v>554</v>
      </c>
      <c r="H302" s="9" t="s">
        <v>555</v>
      </c>
    </row>
    <row r="303" spans="1:8" ht="14.25">
      <c r="A303" s="37" t="s">
        <v>398</v>
      </c>
      <c r="B303" s="38">
        <v>39</v>
      </c>
      <c r="C303" s="37"/>
      <c r="D303" s="37"/>
      <c r="E303" s="37"/>
      <c r="F303" s="38">
        <v>33714.559999999998</v>
      </c>
      <c r="G303" s="37"/>
      <c r="H303" s="37"/>
    </row>
    <row r="304" spans="1:8" ht="14.25">
      <c r="A304" s="9">
        <v>45673</v>
      </c>
      <c r="B304" s="9" t="s">
        <v>418</v>
      </c>
      <c r="C304" s="36">
        <v>46037</v>
      </c>
      <c r="D304" s="36">
        <v>46047</v>
      </c>
      <c r="E304" s="9">
        <v>1310</v>
      </c>
      <c r="F304" s="9">
        <v>559.35</v>
      </c>
      <c r="G304" s="9" t="s">
        <v>554</v>
      </c>
      <c r="H304" s="9" t="s">
        <v>555</v>
      </c>
    </row>
    <row r="305" spans="1:8" ht="14.25">
      <c r="A305" s="9">
        <v>45673</v>
      </c>
      <c r="B305" s="9" t="s">
        <v>418</v>
      </c>
      <c r="C305" s="36">
        <v>45979</v>
      </c>
      <c r="D305" s="36">
        <v>46049</v>
      </c>
      <c r="E305" s="9">
        <v>1074</v>
      </c>
      <c r="F305" s="9">
        <v>817.95</v>
      </c>
      <c r="G305" s="9" t="s">
        <v>554</v>
      </c>
      <c r="H305" s="9" t="s">
        <v>555</v>
      </c>
    </row>
    <row r="306" spans="1:8" ht="14.25">
      <c r="A306" s="9">
        <v>45673</v>
      </c>
      <c r="B306" s="9" t="s">
        <v>418</v>
      </c>
      <c r="C306" s="36">
        <v>45952</v>
      </c>
      <c r="D306" s="36">
        <v>46018</v>
      </c>
      <c r="E306" s="9">
        <v>994</v>
      </c>
      <c r="F306" s="9">
        <v>419</v>
      </c>
      <c r="G306" s="9" t="s">
        <v>554</v>
      </c>
      <c r="H306" s="9" t="s">
        <v>555</v>
      </c>
    </row>
    <row r="307" spans="1:8" ht="14.25">
      <c r="A307" s="9">
        <v>45673</v>
      </c>
      <c r="B307" s="9" t="s">
        <v>418</v>
      </c>
      <c r="C307" s="36">
        <v>45949</v>
      </c>
      <c r="D307" s="35">
        <v>45967</v>
      </c>
      <c r="E307" s="9">
        <v>973</v>
      </c>
      <c r="F307" s="9">
        <v>817.95</v>
      </c>
      <c r="G307" s="9" t="s">
        <v>554</v>
      </c>
      <c r="H307" s="9" t="s">
        <v>555</v>
      </c>
    </row>
    <row r="308" spans="1:8" ht="14.25">
      <c r="A308" s="9">
        <v>45673</v>
      </c>
      <c r="B308" s="9" t="s">
        <v>418</v>
      </c>
      <c r="C308" s="36">
        <v>45945</v>
      </c>
      <c r="D308" s="35">
        <v>45963</v>
      </c>
      <c r="E308" s="9">
        <v>943</v>
      </c>
      <c r="F308" s="9">
        <v>817.95</v>
      </c>
      <c r="G308" s="9" t="s">
        <v>554</v>
      </c>
      <c r="H308" s="9" t="s">
        <v>555</v>
      </c>
    </row>
    <row r="309" spans="1:8" ht="14.25">
      <c r="A309" s="37" t="s">
        <v>398</v>
      </c>
      <c r="B309" s="38">
        <v>5</v>
      </c>
      <c r="C309" s="37"/>
      <c r="D309" s="37"/>
      <c r="E309" s="37"/>
      <c r="F309" s="38">
        <v>3432.2</v>
      </c>
      <c r="G309" s="37"/>
      <c r="H309" s="37"/>
    </row>
    <row r="310" spans="1:8" ht="14.25">
      <c r="A310" s="9">
        <v>45673</v>
      </c>
      <c r="B310" s="9" t="s">
        <v>127</v>
      </c>
      <c r="C310" s="35">
        <v>46027</v>
      </c>
      <c r="D310" s="36">
        <v>46046</v>
      </c>
      <c r="E310" s="9">
        <v>1271</v>
      </c>
      <c r="F310" s="9">
        <v>449.49</v>
      </c>
      <c r="G310" s="9" t="s">
        <v>554</v>
      </c>
      <c r="H310" s="9" t="s">
        <v>555</v>
      </c>
    </row>
    <row r="311" spans="1:8" ht="14.25">
      <c r="A311" s="9">
        <v>45673</v>
      </c>
      <c r="B311" s="9" t="s">
        <v>127</v>
      </c>
      <c r="C311" s="36">
        <v>45943</v>
      </c>
      <c r="D311" s="36">
        <v>45945</v>
      </c>
      <c r="E311" s="9">
        <v>925</v>
      </c>
      <c r="F311" s="9">
        <v>743.43</v>
      </c>
      <c r="G311" s="9" t="s">
        <v>554</v>
      </c>
      <c r="H311" s="9" t="s">
        <v>555</v>
      </c>
    </row>
    <row r="312" spans="1:8" ht="14.25">
      <c r="A312" s="9">
        <v>45673</v>
      </c>
      <c r="B312" s="9" t="s">
        <v>127</v>
      </c>
      <c r="C312" s="35">
        <v>45936</v>
      </c>
      <c r="D312" s="36">
        <v>46019</v>
      </c>
      <c r="E312" s="9">
        <v>898</v>
      </c>
      <c r="F312" s="9">
        <v>397.74</v>
      </c>
      <c r="G312" s="9" t="s">
        <v>554</v>
      </c>
      <c r="H312" s="9" t="s">
        <v>555</v>
      </c>
    </row>
    <row r="313" spans="1:8" ht="14.25">
      <c r="A313" s="9">
        <v>123</v>
      </c>
      <c r="B313" s="9" t="s">
        <v>127</v>
      </c>
      <c r="C313" s="36">
        <v>45888</v>
      </c>
      <c r="D313" s="36">
        <v>45893</v>
      </c>
      <c r="E313" s="9">
        <v>652</v>
      </c>
      <c r="F313" s="9">
        <v>557.13</v>
      </c>
      <c r="G313" s="9" t="s">
        <v>554</v>
      </c>
      <c r="H313" s="9" t="s">
        <v>555</v>
      </c>
    </row>
    <row r="314" spans="1:8" ht="14.25">
      <c r="A314" s="9">
        <v>123</v>
      </c>
      <c r="B314" s="9" t="s">
        <v>563</v>
      </c>
      <c r="C314" s="35">
        <v>45846</v>
      </c>
      <c r="D314" s="35">
        <v>45847</v>
      </c>
      <c r="E314" s="9">
        <v>391</v>
      </c>
      <c r="F314" s="9">
        <v>390.44</v>
      </c>
      <c r="G314" s="9" t="s">
        <v>554</v>
      </c>
      <c r="H314" s="9" t="s">
        <v>555</v>
      </c>
    </row>
    <row r="315" spans="1:8" ht="14.25">
      <c r="A315" s="37" t="s">
        <v>398</v>
      </c>
      <c r="B315" s="38">
        <v>5</v>
      </c>
      <c r="C315" s="37"/>
      <c r="D315" s="37"/>
      <c r="E315" s="37"/>
      <c r="F315" s="38">
        <v>2538.23</v>
      </c>
      <c r="G315" s="37"/>
      <c r="H315" s="37"/>
    </row>
    <row r="316" spans="1:8" ht="14.25">
      <c r="A316" s="9">
        <v>45673</v>
      </c>
      <c r="B316" s="9" t="s">
        <v>124</v>
      </c>
      <c r="C316" s="35">
        <v>45994</v>
      </c>
      <c r="D316" s="35">
        <v>45997</v>
      </c>
      <c r="E316" s="9">
        <v>1130</v>
      </c>
      <c r="F316" s="9">
        <v>259.05</v>
      </c>
      <c r="G316" s="9" t="s">
        <v>554</v>
      </c>
      <c r="H316" s="9" t="s">
        <v>555</v>
      </c>
    </row>
    <row r="317" spans="1:8" ht="14.25">
      <c r="A317" s="9">
        <v>45673</v>
      </c>
      <c r="B317" s="9" t="s">
        <v>124</v>
      </c>
      <c r="C317" s="36">
        <v>45983</v>
      </c>
      <c r="D317" s="36">
        <v>46076</v>
      </c>
      <c r="E317" s="9">
        <v>1089</v>
      </c>
      <c r="F317" s="9">
        <v>1272.17</v>
      </c>
      <c r="G317" s="9" t="s">
        <v>554</v>
      </c>
      <c r="H317" s="9" t="s">
        <v>555</v>
      </c>
    </row>
    <row r="318" spans="1:8" ht="14.25">
      <c r="A318" s="9">
        <v>45673</v>
      </c>
      <c r="B318" s="9" t="s">
        <v>124</v>
      </c>
      <c r="C318" s="36">
        <v>45977</v>
      </c>
      <c r="D318" s="36">
        <v>45978</v>
      </c>
      <c r="E318" s="9">
        <v>1065</v>
      </c>
      <c r="F318" s="9">
        <v>517.79</v>
      </c>
      <c r="G318" s="9" t="s">
        <v>554</v>
      </c>
      <c r="H318" s="9" t="s">
        <v>555</v>
      </c>
    </row>
    <row r="319" spans="1:8" ht="14.25">
      <c r="A319" s="9">
        <v>45673</v>
      </c>
      <c r="B319" s="9" t="s">
        <v>124</v>
      </c>
      <c r="C319" s="36">
        <v>45973</v>
      </c>
      <c r="D319" s="35">
        <v>46026</v>
      </c>
      <c r="E319" s="9">
        <v>1055</v>
      </c>
      <c r="F319" s="9">
        <v>647.16999999999996</v>
      </c>
      <c r="G319" s="9" t="s">
        <v>554</v>
      </c>
      <c r="H319" s="9" t="s">
        <v>555</v>
      </c>
    </row>
    <row r="320" spans="1:8" ht="14.25">
      <c r="A320" s="9">
        <v>45673</v>
      </c>
      <c r="B320" s="9" t="s">
        <v>124</v>
      </c>
      <c r="C320" s="35">
        <v>45935</v>
      </c>
      <c r="D320" s="36">
        <v>45940</v>
      </c>
      <c r="E320" s="9">
        <v>889</v>
      </c>
      <c r="F320" s="9">
        <v>517.79</v>
      </c>
      <c r="G320" s="9" t="s">
        <v>554</v>
      </c>
      <c r="H320" s="9" t="s">
        <v>555</v>
      </c>
    </row>
    <row r="321" spans="1:8" ht="14.25">
      <c r="A321" s="9">
        <v>45673</v>
      </c>
      <c r="B321" s="9" t="s">
        <v>124</v>
      </c>
      <c r="C321" s="35">
        <v>45904</v>
      </c>
      <c r="D321" s="35">
        <v>45905</v>
      </c>
      <c r="E321" s="9">
        <v>748</v>
      </c>
      <c r="F321" s="9">
        <v>776.55</v>
      </c>
      <c r="G321" s="9" t="s">
        <v>554</v>
      </c>
      <c r="H321" s="9" t="s">
        <v>555</v>
      </c>
    </row>
    <row r="322" spans="1:8" ht="14.25">
      <c r="A322" s="9">
        <v>45673</v>
      </c>
      <c r="B322" s="9" t="s">
        <v>124</v>
      </c>
      <c r="C322" s="36">
        <v>45899</v>
      </c>
      <c r="D322" s="35">
        <v>45901</v>
      </c>
      <c r="E322" s="9">
        <v>721</v>
      </c>
      <c r="F322" s="9">
        <v>647.16999999999996</v>
      </c>
      <c r="G322" s="9" t="s">
        <v>554</v>
      </c>
      <c r="H322" s="9" t="s">
        <v>555</v>
      </c>
    </row>
    <row r="323" spans="1:8" ht="14.25">
      <c r="A323" s="9">
        <v>123</v>
      </c>
      <c r="B323" s="9" t="s">
        <v>124</v>
      </c>
      <c r="C323" s="36">
        <v>45887</v>
      </c>
      <c r="D323" s="36">
        <v>45950</v>
      </c>
      <c r="E323" s="9">
        <v>641</v>
      </c>
      <c r="F323" s="9">
        <v>259.05</v>
      </c>
      <c r="G323" s="9" t="s">
        <v>554</v>
      </c>
      <c r="H323" s="9" t="s">
        <v>555</v>
      </c>
    </row>
    <row r="324" spans="1:8" ht="14.25">
      <c r="A324" s="9">
        <v>123</v>
      </c>
      <c r="B324" s="9" t="s">
        <v>124</v>
      </c>
      <c r="C324" s="36">
        <v>45861</v>
      </c>
      <c r="D324" s="36">
        <v>45866</v>
      </c>
      <c r="E324" s="9">
        <v>483</v>
      </c>
      <c r="F324" s="9">
        <v>509.05</v>
      </c>
      <c r="G324" s="9" t="s">
        <v>554</v>
      </c>
      <c r="H324" s="9" t="s">
        <v>555</v>
      </c>
    </row>
    <row r="325" spans="1:8" ht="14.25">
      <c r="A325" s="9">
        <v>123</v>
      </c>
      <c r="B325" s="9" t="s">
        <v>124</v>
      </c>
      <c r="C325" s="36">
        <v>45848</v>
      </c>
      <c r="D325" s="36">
        <v>45857</v>
      </c>
      <c r="E325" s="9">
        <v>409</v>
      </c>
      <c r="F325" s="9">
        <v>509.05</v>
      </c>
      <c r="G325" s="9" t="s">
        <v>554</v>
      </c>
      <c r="H325" s="9" t="s">
        <v>555</v>
      </c>
    </row>
    <row r="326" spans="1:8" ht="14.25">
      <c r="A326" s="37" t="s">
        <v>398</v>
      </c>
      <c r="B326" s="38">
        <v>10</v>
      </c>
      <c r="C326" s="37"/>
      <c r="D326" s="37"/>
      <c r="E326" s="37"/>
      <c r="F326" s="38">
        <v>5914.84</v>
      </c>
      <c r="G326" s="37"/>
      <c r="H326" s="37"/>
    </row>
    <row r="327" spans="1:8" ht="14.25">
      <c r="A327" s="9">
        <v>45673</v>
      </c>
      <c r="B327" s="9" t="s">
        <v>424</v>
      </c>
      <c r="C327" s="36">
        <v>46018</v>
      </c>
      <c r="D327" s="36">
        <v>46069</v>
      </c>
      <c r="E327" s="9">
        <v>1218</v>
      </c>
      <c r="F327" s="9">
        <v>1097.4000000000001</v>
      </c>
      <c r="G327" s="9" t="s">
        <v>554</v>
      </c>
      <c r="H327" s="9" t="s">
        <v>555</v>
      </c>
    </row>
    <row r="328" spans="1:8" ht="14.25">
      <c r="A328" s="37" t="s">
        <v>398</v>
      </c>
      <c r="B328" s="38">
        <v>1</v>
      </c>
      <c r="C328" s="37"/>
      <c r="D328" s="37"/>
      <c r="E328" s="37"/>
      <c r="F328" s="38">
        <v>1097.4000000000001</v>
      </c>
      <c r="G328" s="37"/>
      <c r="H328" s="37"/>
    </row>
    <row r="329" spans="1:8" ht="14.25">
      <c r="A329" s="9">
        <v>45673</v>
      </c>
      <c r="B329" s="9" t="s">
        <v>118</v>
      </c>
      <c r="C329" s="35">
        <v>45995</v>
      </c>
      <c r="D329" s="35">
        <v>45996</v>
      </c>
      <c r="E329" s="9">
        <v>1135</v>
      </c>
      <c r="F329" s="9">
        <v>174.18</v>
      </c>
      <c r="G329" s="9" t="s">
        <v>554</v>
      </c>
      <c r="H329" s="9" t="s">
        <v>555</v>
      </c>
    </row>
    <row r="330" spans="1:8" ht="14.25">
      <c r="A330" s="9">
        <v>123</v>
      </c>
      <c r="B330" s="9" t="s">
        <v>118</v>
      </c>
      <c r="C330" s="36">
        <v>45889</v>
      </c>
      <c r="D330" s="36">
        <v>45974</v>
      </c>
      <c r="E330" s="9">
        <v>659</v>
      </c>
      <c r="F330" s="9">
        <v>414.42</v>
      </c>
      <c r="G330" s="9" t="s">
        <v>554</v>
      </c>
      <c r="H330" s="9" t="s">
        <v>555</v>
      </c>
    </row>
    <row r="331" spans="1:8" ht="14.25">
      <c r="A331" s="9">
        <v>123</v>
      </c>
      <c r="B331" s="9" t="s">
        <v>118</v>
      </c>
      <c r="C331" s="36">
        <v>45887</v>
      </c>
      <c r="D331" s="36">
        <v>45888</v>
      </c>
      <c r="E331" s="9">
        <v>645</v>
      </c>
      <c r="F331" s="9">
        <v>265.26</v>
      </c>
      <c r="G331" s="9" t="s">
        <v>554</v>
      </c>
      <c r="H331" s="9" t="s">
        <v>555</v>
      </c>
    </row>
    <row r="332" spans="1:8" ht="14.25">
      <c r="A332" s="9">
        <v>45673</v>
      </c>
      <c r="B332" s="9" t="s">
        <v>114</v>
      </c>
      <c r="C332" s="36">
        <v>46064</v>
      </c>
      <c r="D332" s="36">
        <v>46065</v>
      </c>
      <c r="E332" s="9">
        <v>1426</v>
      </c>
      <c r="F332" s="9">
        <v>197.69</v>
      </c>
      <c r="G332" s="9" t="s">
        <v>554</v>
      </c>
      <c r="H332" s="9" t="s">
        <v>555</v>
      </c>
    </row>
    <row r="333" spans="1:8" ht="14.25">
      <c r="A333" s="9">
        <v>45673</v>
      </c>
      <c r="B333" s="9" t="s">
        <v>114</v>
      </c>
      <c r="C333" s="36">
        <v>46041</v>
      </c>
      <c r="D333" s="36">
        <v>46042</v>
      </c>
      <c r="E333" s="9">
        <v>1341</v>
      </c>
      <c r="F333" s="9">
        <v>369.65</v>
      </c>
      <c r="G333" s="9" t="s">
        <v>554</v>
      </c>
      <c r="H333" s="9" t="s">
        <v>555</v>
      </c>
    </row>
    <row r="334" spans="1:8" ht="14.25">
      <c r="A334" s="9">
        <v>45673</v>
      </c>
      <c r="B334" s="9" t="s">
        <v>114</v>
      </c>
      <c r="C334" s="36">
        <v>46041</v>
      </c>
      <c r="D334" s="36">
        <v>46042</v>
      </c>
      <c r="E334" s="9">
        <v>1337</v>
      </c>
      <c r="F334" s="9">
        <v>412.38</v>
      </c>
      <c r="G334" s="9" t="s">
        <v>554</v>
      </c>
      <c r="H334" s="9" t="s">
        <v>555</v>
      </c>
    </row>
    <row r="335" spans="1:8" ht="14.25">
      <c r="A335" s="9">
        <v>45673</v>
      </c>
      <c r="B335" s="9" t="s">
        <v>114</v>
      </c>
      <c r="C335" s="36">
        <v>46036</v>
      </c>
      <c r="D335" s="36">
        <v>46037</v>
      </c>
      <c r="E335" s="9">
        <v>1306</v>
      </c>
      <c r="F335" s="9">
        <v>546.49</v>
      </c>
      <c r="G335" s="9" t="s">
        <v>554</v>
      </c>
      <c r="H335" s="9" t="s">
        <v>555</v>
      </c>
    </row>
    <row r="336" spans="1:8" ht="14.25">
      <c r="A336" s="9">
        <v>45673</v>
      </c>
      <c r="B336" s="9" t="s">
        <v>114</v>
      </c>
      <c r="C336" s="36">
        <v>46035</v>
      </c>
      <c r="D336" s="35">
        <v>46055</v>
      </c>
      <c r="E336" s="9">
        <v>1301</v>
      </c>
      <c r="F336" s="9">
        <v>903.85</v>
      </c>
      <c r="G336" s="9" t="s">
        <v>554</v>
      </c>
      <c r="H336" s="9" t="s">
        <v>555</v>
      </c>
    </row>
    <row r="337" spans="1:8" ht="14.25">
      <c r="A337" s="9">
        <v>45673</v>
      </c>
      <c r="B337" s="9" t="s">
        <v>114</v>
      </c>
      <c r="C337" s="35">
        <v>45965</v>
      </c>
      <c r="D337" s="35">
        <v>45969</v>
      </c>
      <c r="E337" s="9">
        <v>1035</v>
      </c>
      <c r="F337" s="9">
        <v>100.69</v>
      </c>
      <c r="G337" s="9" t="s">
        <v>554</v>
      </c>
      <c r="H337" s="9" t="s">
        <v>555</v>
      </c>
    </row>
    <row r="338" spans="1:8" ht="14.25">
      <c r="A338" s="9">
        <v>45673</v>
      </c>
      <c r="B338" s="9" t="s">
        <v>114</v>
      </c>
      <c r="C338" s="35">
        <v>45963</v>
      </c>
      <c r="D338" s="35">
        <v>45964</v>
      </c>
      <c r="E338" s="9">
        <v>1029</v>
      </c>
      <c r="F338" s="9">
        <v>587.39</v>
      </c>
      <c r="G338" s="9" t="s">
        <v>554</v>
      </c>
      <c r="H338" s="9" t="s">
        <v>555</v>
      </c>
    </row>
    <row r="339" spans="1:8" ht="14.25">
      <c r="A339" s="9">
        <v>45673</v>
      </c>
      <c r="B339" s="9" t="s">
        <v>114</v>
      </c>
      <c r="C339" s="36">
        <v>45946</v>
      </c>
      <c r="D339" s="36">
        <v>45948</v>
      </c>
      <c r="E339" s="9">
        <v>947</v>
      </c>
      <c r="F339" s="9">
        <v>332</v>
      </c>
      <c r="G339" s="9" t="s">
        <v>554</v>
      </c>
      <c r="H339" s="9" t="s">
        <v>555</v>
      </c>
    </row>
    <row r="340" spans="1:8" ht="14.25">
      <c r="A340" s="9">
        <v>45673</v>
      </c>
      <c r="B340" s="9" t="s">
        <v>114</v>
      </c>
      <c r="C340" s="36">
        <v>45940</v>
      </c>
      <c r="D340" s="36">
        <v>45941</v>
      </c>
      <c r="E340" s="9">
        <v>916</v>
      </c>
      <c r="F340" s="9">
        <v>134.85</v>
      </c>
      <c r="G340" s="9" t="s">
        <v>554</v>
      </c>
      <c r="H340" s="9" t="s">
        <v>555</v>
      </c>
    </row>
    <row r="341" spans="1:8" ht="14.25">
      <c r="A341" s="9">
        <v>45673</v>
      </c>
      <c r="B341" s="9" t="s">
        <v>114</v>
      </c>
      <c r="C341" s="35">
        <v>45936</v>
      </c>
      <c r="D341" s="35">
        <v>45937</v>
      </c>
      <c r="E341" s="9">
        <v>899</v>
      </c>
      <c r="F341" s="9">
        <v>561.96</v>
      </c>
      <c r="G341" s="9" t="s">
        <v>554</v>
      </c>
      <c r="H341" s="9" t="s">
        <v>555</v>
      </c>
    </row>
    <row r="342" spans="1:8" ht="14.25">
      <c r="A342" s="9">
        <v>45673</v>
      </c>
      <c r="B342" s="9" t="s">
        <v>114</v>
      </c>
      <c r="C342" s="35">
        <v>45935</v>
      </c>
      <c r="D342" s="35">
        <v>45936</v>
      </c>
      <c r="E342" s="9">
        <v>893</v>
      </c>
      <c r="F342" s="9">
        <v>275.02</v>
      </c>
      <c r="G342" s="9" t="s">
        <v>554</v>
      </c>
      <c r="H342" s="9" t="s">
        <v>555</v>
      </c>
    </row>
    <row r="343" spans="1:8" ht="14.25">
      <c r="A343" s="9">
        <v>45673</v>
      </c>
      <c r="B343" s="9" t="s">
        <v>114</v>
      </c>
      <c r="C343" s="36">
        <v>45927</v>
      </c>
      <c r="D343" s="36">
        <v>45928</v>
      </c>
      <c r="E343" s="9">
        <v>848</v>
      </c>
      <c r="F343" s="9">
        <v>275.02</v>
      </c>
      <c r="G343" s="9" t="s">
        <v>554</v>
      </c>
      <c r="H343" s="9" t="s">
        <v>555</v>
      </c>
    </row>
    <row r="344" spans="1:8" ht="14.25">
      <c r="A344" s="9">
        <v>45673</v>
      </c>
      <c r="B344" s="9" t="s">
        <v>114</v>
      </c>
      <c r="C344" s="36">
        <v>45925</v>
      </c>
      <c r="D344" s="36">
        <v>45926</v>
      </c>
      <c r="E344" s="9">
        <v>833</v>
      </c>
      <c r="F344" s="9">
        <v>213.97</v>
      </c>
      <c r="G344" s="9" t="s">
        <v>554</v>
      </c>
      <c r="H344" s="9" t="s">
        <v>555</v>
      </c>
    </row>
    <row r="345" spans="1:8" ht="14.25">
      <c r="A345" s="9">
        <v>45673</v>
      </c>
      <c r="B345" s="9" t="s">
        <v>114</v>
      </c>
      <c r="C345" s="36">
        <v>45923</v>
      </c>
      <c r="D345" s="36">
        <v>45924</v>
      </c>
      <c r="E345" s="9">
        <v>830</v>
      </c>
      <c r="F345" s="9">
        <v>217.65</v>
      </c>
      <c r="G345" s="9" t="s">
        <v>554</v>
      </c>
      <c r="H345" s="9" t="s">
        <v>555</v>
      </c>
    </row>
    <row r="346" spans="1:8" ht="14.25">
      <c r="A346" s="9">
        <v>45673</v>
      </c>
      <c r="B346" s="9" t="s">
        <v>114</v>
      </c>
      <c r="C346" s="36">
        <v>45921</v>
      </c>
      <c r="D346" s="36">
        <v>45922</v>
      </c>
      <c r="E346" s="9">
        <v>825</v>
      </c>
      <c r="F346" s="9">
        <v>275.02</v>
      </c>
      <c r="G346" s="9" t="s">
        <v>554</v>
      </c>
      <c r="H346" s="9" t="s">
        <v>555</v>
      </c>
    </row>
    <row r="347" spans="1:8" ht="14.25">
      <c r="A347" s="9">
        <v>45673</v>
      </c>
      <c r="B347" s="9" t="s">
        <v>114</v>
      </c>
      <c r="C347" s="35">
        <v>45905</v>
      </c>
      <c r="D347" s="35">
        <v>45906</v>
      </c>
      <c r="E347" s="9">
        <v>752</v>
      </c>
      <c r="F347" s="9">
        <v>275.02</v>
      </c>
      <c r="G347" s="9" t="s">
        <v>554</v>
      </c>
      <c r="H347" s="9" t="s">
        <v>555</v>
      </c>
    </row>
    <row r="348" spans="1:8" ht="14.25">
      <c r="A348" s="9">
        <v>45673</v>
      </c>
      <c r="B348" s="9" t="s">
        <v>114</v>
      </c>
      <c r="C348" s="35">
        <v>45903</v>
      </c>
      <c r="D348" s="35">
        <v>45904</v>
      </c>
      <c r="E348" s="9">
        <v>744</v>
      </c>
      <c r="F348" s="9">
        <v>281.13</v>
      </c>
      <c r="G348" s="9" t="s">
        <v>554</v>
      </c>
      <c r="H348" s="9" t="s">
        <v>555</v>
      </c>
    </row>
    <row r="349" spans="1:8" ht="14.25">
      <c r="A349" s="9">
        <v>45673</v>
      </c>
      <c r="B349" s="9" t="s">
        <v>114</v>
      </c>
      <c r="C349" s="35">
        <v>45903</v>
      </c>
      <c r="D349" s="35">
        <v>45904</v>
      </c>
      <c r="E349" s="9">
        <v>743</v>
      </c>
      <c r="F349" s="9">
        <v>140.71</v>
      </c>
      <c r="G349" s="9" t="s">
        <v>554</v>
      </c>
      <c r="H349" s="9" t="s">
        <v>555</v>
      </c>
    </row>
    <row r="350" spans="1:8" ht="14.25">
      <c r="A350" s="9">
        <v>45673</v>
      </c>
      <c r="B350" s="9" t="s">
        <v>114</v>
      </c>
      <c r="C350" s="35">
        <v>45903</v>
      </c>
      <c r="D350" s="35">
        <v>45904</v>
      </c>
      <c r="E350" s="9">
        <v>742</v>
      </c>
      <c r="F350" s="9">
        <v>281.13</v>
      </c>
      <c r="G350" s="9" t="s">
        <v>554</v>
      </c>
      <c r="H350" s="9" t="s">
        <v>555</v>
      </c>
    </row>
    <row r="351" spans="1:8" ht="14.25">
      <c r="A351" s="9">
        <v>45673</v>
      </c>
      <c r="B351" s="9" t="s">
        <v>114</v>
      </c>
      <c r="C351" s="35">
        <v>45902</v>
      </c>
      <c r="D351" s="35">
        <v>45904</v>
      </c>
      <c r="E351" s="9">
        <v>738</v>
      </c>
      <c r="F351" s="9">
        <v>140.71</v>
      </c>
      <c r="G351" s="9" t="s">
        <v>554</v>
      </c>
      <c r="H351" s="9" t="s">
        <v>555</v>
      </c>
    </row>
    <row r="352" spans="1:8" ht="14.25">
      <c r="A352" s="9">
        <v>45673</v>
      </c>
      <c r="B352" s="9" t="s">
        <v>114</v>
      </c>
      <c r="C352" s="36">
        <v>45895</v>
      </c>
      <c r="D352" s="36">
        <v>45896</v>
      </c>
      <c r="E352" s="9">
        <v>695</v>
      </c>
      <c r="F352" s="9">
        <v>438.84</v>
      </c>
      <c r="G352" s="9" t="s">
        <v>554</v>
      </c>
      <c r="H352" s="9" t="s">
        <v>555</v>
      </c>
    </row>
    <row r="353" spans="1:8" ht="14.25">
      <c r="A353" s="9">
        <v>123</v>
      </c>
      <c r="B353" s="9" t="s">
        <v>114</v>
      </c>
      <c r="C353" s="36">
        <v>45889</v>
      </c>
      <c r="D353" s="36">
        <v>45890</v>
      </c>
      <c r="E353" s="9">
        <v>657</v>
      </c>
      <c r="F353" s="9">
        <v>281.13</v>
      </c>
      <c r="G353" s="9" t="s">
        <v>554</v>
      </c>
      <c r="H353" s="9" t="s">
        <v>555</v>
      </c>
    </row>
    <row r="354" spans="1:8" ht="14.25">
      <c r="A354" s="9">
        <v>123</v>
      </c>
      <c r="B354" s="9" t="s">
        <v>114</v>
      </c>
      <c r="C354" s="36">
        <v>45882</v>
      </c>
      <c r="D354" s="36">
        <v>45884</v>
      </c>
      <c r="E354" s="9">
        <v>611</v>
      </c>
      <c r="F354" s="9">
        <v>285.95</v>
      </c>
      <c r="G354" s="9" t="s">
        <v>554</v>
      </c>
      <c r="H354" s="9" t="s">
        <v>555</v>
      </c>
    </row>
    <row r="355" spans="1:8" ht="14.25">
      <c r="A355" s="9">
        <v>123</v>
      </c>
      <c r="B355" s="9" t="s">
        <v>114</v>
      </c>
      <c r="C355" s="35">
        <v>45878</v>
      </c>
      <c r="D355" s="36">
        <v>45879</v>
      </c>
      <c r="E355" s="9">
        <v>591</v>
      </c>
      <c r="F355" s="9">
        <v>140.71</v>
      </c>
      <c r="G355" s="9" t="s">
        <v>554</v>
      </c>
      <c r="H355" s="9" t="s">
        <v>555</v>
      </c>
    </row>
    <row r="356" spans="1:8" ht="14.25">
      <c r="A356" s="9">
        <v>123</v>
      </c>
      <c r="B356" s="9" t="s">
        <v>114</v>
      </c>
      <c r="C356" s="35">
        <v>45874</v>
      </c>
      <c r="D356" s="35">
        <v>45875</v>
      </c>
      <c r="E356" s="9">
        <v>557</v>
      </c>
      <c r="F356" s="9">
        <v>140.71</v>
      </c>
      <c r="G356" s="9" t="s">
        <v>554</v>
      </c>
      <c r="H356" s="9" t="s">
        <v>555</v>
      </c>
    </row>
    <row r="357" spans="1:8" ht="14.25">
      <c r="A357" s="9">
        <v>123</v>
      </c>
      <c r="B357" s="9" t="s">
        <v>114</v>
      </c>
      <c r="C357" s="35">
        <v>45872</v>
      </c>
      <c r="D357" s="35">
        <v>45873</v>
      </c>
      <c r="E357" s="9">
        <v>547</v>
      </c>
      <c r="F357" s="9">
        <v>281.13</v>
      </c>
      <c r="G357" s="9" t="s">
        <v>554</v>
      </c>
      <c r="H357" s="9" t="s">
        <v>555</v>
      </c>
    </row>
    <row r="358" spans="1:8" ht="14.25">
      <c r="A358" s="9">
        <v>123</v>
      </c>
      <c r="B358" s="9" t="s">
        <v>114</v>
      </c>
      <c r="C358" s="36">
        <v>45849</v>
      </c>
      <c r="D358" s="36">
        <v>45851</v>
      </c>
      <c r="E358" s="9">
        <v>418</v>
      </c>
      <c r="F358" s="9">
        <v>281.13</v>
      </c>
      <c r="G358" s="9" t="s">
        <v>554</v>
      </c>
      <c r="H358" s="9" t="s">
        <v>555</v>
      </c>
    </row>
    <row r="359" spans="1:8" ht="14.25">
      <c r="A359" s="9">
        <v>123</v>
      </c>
      <c r="B359" s="9" t="s">
        <v>114</v>
      </c>
      <c r="C359" s="35">
        <v>45847</v>
      </c>
      <c r="D359" s="36">
        <v>45849</v>
      </c>
      <c r="E359" s="9">
        <v>400</v>
      </c>
      <c r="F359" s="9">
        <v>833.3</v>
      </c>
      <c r="G359" s="9" t="s">
        <v>554</v>
      </c>
      <c r="H359" s="9" t="s">
        <v>555</v>
      </c>
    </row>
    <row r="360" spans="1:8" ht="14.25">
      <c r="A360" s="9">
        <v>123</v>
      </c>
      <c r="B360" s="9" t="s">
        <v>114</v>
      </c>
      <c r="C360" s="35">
        <v>45844</v>
      </c>
      <c r="D360" s="36">
        <v>45859</v>
      </c>
      <c r="E360" s="9">
        <v>382</v>
      </c>
      <c r="F360" s="9">
        <v>213.66</v>
      </c>
      <c r="G360" s="9" t="s">
        <v>554</v>
      </c>
      <c r="H360" s="9" t="s">
        <v>555</v>
      </c>
    </row>
    <row r="361" spans="1:8" ht="14.25">
      <c r="A361" s="9">
        <v>123</v>
      </c>
      <c r="B361" s="9" t="s">
        <v>114</v>
      </c>
      <c r="C361" s="35">
        <v>45844</v>
      </c>
      <c r="D361" s="35">
        <v>45845</v>
      </c>
      <c r="E361" s="9">
        <v>380</v>
      </c>
      <c r="F361" s="9">
        <v>163.88</v>
      </c>
      <c r="G361" s="9" t="s">
        <v>554</v>
      </c>
      <c r="H361" s="9" t="s">
        <v>555</v>
      </c>
    </row>
    <row r="362" spans="1:8" ht="14.25">
      <c r="A362" s="37" t="s">
        <v>398</v>
      </c>
      <c r="B362" s="38">
        <v>33</v>
      </c>
      <c r="C362" s="37"/>
      <c r="D362" s="37"/>
      <c r="E362" s="37"/>
      <c r="F362" s="38">
        <v>10436.629999999999</v>
      </c>
      <c r="G362" s="37"/>
      <c r="H362" s="37"/>
    </row>
    <row r="363" spans="1:8" ht="14.25">
      <c r="A363" s="9">
        <v>45673</v>
      </c>
      <c r="B363" s="9" t="s">
        <v>111</v>
      </c>
      <c r="C363" s="36">
        <v>46034</v>
      </c>
      <c r="D363" s="36">
        <v>46049</v>
      </c>
      <c r="E363" s="9">
        <v>1298</v>
      </c>
      <c r="F363" s="9">
        <v>197.69</v>
      </c>
      <c r="G363" s="9" t="s">
        <v>554</v>
      </c>
      <c r="H363" s="9" t="s">
        <v>555</v>
      </c>
    </row>
    <row r="364" spans="1:8" ht="14.25">
      <c r="A364" s="9">
        <v>45673</v>
      </c>
      <c r="B364" s="9" t="s">
        <v>111</v>
      </c>
      <c r="C364" s="36">
        <v>46033</v>
      </c>
      <c r="D364" s="36">
        <v>46034</v>
      </c>
      <c r="E364" s="9">
        <v>1293</v>
      </c>
      <c r="F364" s="9">
        <v>281.13</v>
      </c>
      <c r="G364" s="9" t="s">
        <v>554</v>
      </c>
      <c r="H364" s="9" t="s">
        <v>555</v>
      </c>
    </row>
    <row r="365" spans="1:8" ht="14.25">
      <c r="A365" s="9">
        <v>45673</v>
      </c>
      <c r="B365" s="9" t="s">
        <v>111</v>
      </c>
      <c r="C365" s="36">
        <v>46005</v>
      </c>
      <c r="D365" s="36">
        <v>46006</v>
      </c>
      <c r="E365" s="9">
        <v>1168</v>
      </c>
      <c r="F365" s="9">
        <v>288.25</v>
      </c>
      <c r="G365" s="9" t="s">
        <v>554</v>
      </c>
      <c r="H365" s="9" t="s">
        <v>555</v>
      </c>
    </row>
    <row r="366" spans="1:8" ht="14.25">
      <c r="A366" s="9">
        <v>45673</v>
      </c>
      <c r="B366" s="9" t="s">
        <v>111</v>
      </c>
      <c r="C366" s="36">
        <v>45981</v>
      </c>
      <c r="D366" s="36">
        <v>45982</v>
      </c>
      <c r="E366" s="9">
        <v>1081</v>
      </c>
      <c r="F366" s="9">
        <v>132.57</v>
      </c>
      <c r="G366" s="9" t="s">
        <v>554</v>
      </c>
      <c r="H366" s="9" t="s">
        <v>555</v>
      </c>
    </row>
    <row r="367" spans="1:8" ht="14.25">
      <c r="A367" s="9">
        <v>45673</v>
      </c>
      <c r="B367" s="9" t="s">
        <v>111</v>
      </c>
      <c r="C367" s="36">
        <v>45980</v>
      </c>
      <c r="D367" s="36">
        <v>45982</v>
      </c>
      <c r="E367" s="9">
        <v>1076</v>
      </c>
      <c r="F367" s="9">
        <v>397.12</v>
      </c>
      <c r="G367" s="9" t="s">
        <v>554</v>
      </c>
      <c r="H367" s="9" t="s">
        <v>555</v>
      </c>
    </row>
    <row r="368" spans="1:8" ht="14.25">
      <c r="A368" s="9">
        <v>45673</v>
      </c>
      <c r="B368" s="9" t="s">
        <v>111</v>
      </c>
      <c r="C368" s="36">
        <v>45950</v>
      </c>
      <c r="D368" s="36">
        <v>45955</v>
      </c>
      <c r="E368" s="9">
        <v>987</v>
      </c>
      <c r="F368" s="9">
        <v>264.85000000000002</v>
      </c>
      <c r="G368" s="9" t="s">
        <v>554</v>
      </c>
      <c r="H368" s="9" t="s">
        <v>555</v>
      </c>
    </row>
    <row r="369" spans="1:8" ht="14.25">
      <c r="A369" s="9">
        <v>45673</v>
      </c>
      <c r="B369" s="9" t="s">
        <v>111</v>
      </c>
      <c r="C369" s="35">
        <v>45937</v>
      </c>
      <c r="D369" s="36">
        <v>46063</v>
      </c>
      <c r="E369" s="9">
        <v>909</v>
      </c>
      <c r="F369" s="9">
        <v>201.09</v>
      </c>
      <c r="G369" s="9" t="s">
        <v>554</v>
      </c>
      <c r="H369" s="9" t="s">
        <v>555</v>
      </c>
    </row>
    <row r="370" spans="1:8" ht="14.25">
      <c r="A370" s="9">
        <v>45673</v>
      </c>
      <c r="B370" s="9" t="s">
        <v>111</v>
      </c>
      <c r="C370" s="35">
        <v>45937</v>
      </c>
      <c r="D370" s="35">
        <v>45938</v>
      </c>
      <c r="E370" s="9">
        <v>908</v>
      </c>
      <c r="F370" s="9">
        <v>371.86</v>
      </c>
      <c r="G370" s="9" t="s">
        <v>554</v>
      </c>
      <c r="H370" s="9" t="s">
        <v>555</v>
      </c>
    </row>
    <row r="371" spans="1:8" ht="14.25">
      <c r="A371" s="9">
        <v>45673</v>
      </c>
      <c r="B371" s="9" t="s">
        <v>111</v>
      </c>
      <c r="C371" s="35">
        <v>45932</v>
      </c>
      <c r="D371" s="36">
        <v>45955</v>
      </c>
      <c r="E371" s="9">
        <v>877</v>
      </c>
      <c r="F371" s="9">
        <v>132.57</v>
      </c>
      <c r="G371" s="9" t="s">
        <v>554</v>
      </c>
      <c r="H371" s="9" t="s">
        <v>555</v>
      </c>
    </row>
    <row r="372" spans="1:8" ht="14.25">
      <c r="A372" s="9">
        <v>45673</v>
      </c>
      <c r="B372" s="9" t="s">
        <v>111</v>
      </c>
      <c r="C372" s="36">
        <v>45927</v>
      </c>
      <c r="D372" s="36">
        <v>45930</v>
      </c>
      <c r="E372" s="9">
        <v>845</v>
      </c>
      <c r="F372" s="9">
        <v>213.97</v>
      </c>
      <c r="G372" s="9" t="s">
        <v>554</v>
      </c>
      <c r="H372" s="9" t="s">
        <v>555</v>
      </c>
    </row>
    <row r="373" spans="1:8" ht="14.25">
      <c r="A373" s="9">
        <v>45673</v>
      </c>
      <c r="B373" s="9" t="s">
        <v>111</v>
      </c>
      <c r="C373" s="36">
        <v>45926</v>
      </c>
      <c r="D373" s="36">
        <v>45943</v>
      </c>
      <c r="E373" s="9">
        <v>839</v>
      </c>
      <c r="F373" s="9">
        <v>197.69</v>
      </c>
      <c r="G373" s="9" t="s">
        <v>554</v>
      </c>
      <c r="H373" s="9" t="s">
        <v>555</v>
      </c>
    </row>
    <row r="374" spans="1:8" ht="14.25">
      <c r="A374" s="9">
        <v>45673</v>
      </c>
      <c r="B374" s="9" t="s">
        <v>111</v>
      </c>
      <c r="C374" s="36">
        <v>45916</v>
      </c>
      <c r="D374" s="36">
        <v>45918</v>
      </c>
      <c r="E374" s="9">
        <v>785</v>
      </c>
      <c r="F374" s="9">
        <v>479.54</v>
      </c>
      <c r="G374" s="9" t="s">
        <v>554</v>
      </c>
      <c r="H374" s="9" t="s">
        <v>555</v>
      </c>
    </row>
    <row r="375" spans="1:8" ht="14.25">
      <c r="A375" s="9">
        <v>45673</v>
      </c>
      <c r="B375" s="9" t="s">
        <v>111</v>
      </c>
      <c r="C375" s="36">
        <v>45910</v>
      </c>
      <c r="D375" s="36">
        <v>45928</v>
      </c>
      <c r="E375" s="9">
        <v>782</v>
      </c>
      <c r="F375" s="9">
        <v>702.37</v>
      </c>
      <c r="G375" s="9" t="s">
        <v>554</v>
      </c>
      <c r="H375" s="9" t="s">
        <v>555</v>
      </c>
    </row>
    <row r="376" spans="1:8" ht="14.25">
      <c r="A376" s="9">
        <v>45673</v>
      </c>
      <c r="B376" s="9" t="s">
        <v>111</v>
      </c>
      <c r="C376" s="35">
        <v>45907</v>
      </c>
      <c r="D376" s="35">
        <v>45909</v>
      </c>
      <c r="E376" s="9">
        <v>764</v>
      </c>
      <c r="F376" s="9">
        <v>281.13</v>
      </c>
      <c r="G376" s="9" t="s">
        <v>554</v>
      </c>
      <c r="H376" s="9" t="s">
        <v>555</v>
      </c>
    </row>
    <row r="377" spans="1:8" ht="14.25">
      <c r="A377" s="9">
        <v>45673</v>
      </c>
      <c r="B377" s="9" t="s">
        <v>111</v>
      </c>
      <c r="C377" s="35">
        <v>45905</v>
      </c>
      <c r="D377" s="35">
        <v>45906</v>
      </c>
      <c r="E377" s="9">
        <v>754</v>
      </c>
      <c r="F377" s="9">
        <v>213.97</v>
      </c>
      <c r="G377" s="9" t="s">
        <v>554</v>
      </c>
      <c r="H377" s="9" t="s">
        <v>555</v>
      </c>
    </row>
    <row r="378" spans="1:8" ht="14.25">
      <c r="A378" s="9">
        <v>45673</v>
      </c>
      <c r="B378" s="9" t="s">
        <v>111</v>
      </c>
      <c r="C378" s="36">
        <v>45898</v>
      </c>
      <c r="D378" s="36">
        <v>45919</v>
      </c>
      <c r="E378" s="9">
        <v>719</v>
      </c>
      <c r="F378" s="9">
        <v>421.54</v>
      </c>
      <c r="G378" s="9" t="s">
        <v>554</v>
      </c>
      <c r="H378" s="9" t="s">
        <v>555</v>
      </c>
    </row>
    <row r="379" spans="1:8" ht="14.25">
      <c r="A379" s="9">
        <v>123</v>
      </c>
      <c r="B379" s="9" t="s">
        <v>111</v>
      </c>
      <c r="C379" s="35">
        <v>45876</v>
      </c>
      <c r="D379" s="35">
        <v>45877</v>
      </c>
      <c r="E379" s="9">
        <v>568</v>
      </c>
      <c r="F379" s="9">
        <v>107.13</v>
      </c>
      <c r="G379" s="9" t="s">
        <v>554</v>
      </c>
      <c r="H379" s="9" t="s">
        <v>555</v>
      </c>
    </row>
    <row r="380" spans="1:8" ht="14.25">
      <c r="A380" s="9">
        <v>123</v>
      </c>
      <c r="B380" s="9" t="s">
        <v>111</v>
      </c>
      <c r="C380" s="36">
        <v>45857</v>
      </c>
      <c r="D380" s="36">
        <v>45918</v>
      </c>
      <c r="E380" s="9">
        <v>461</v>
      </c>
      <c r="F380" s="9">
        <v>217.65</v>
      </c>
      <c r="G380" s="9" t="s">
        <v>554</v>
      </c>
      <c r="H380" s="9" t="s">
        <v>555</v>
      </c>
    </row>
    <row r="381" spans="1:8" ht="14.25">
      <c r="A381" s="9">
        <v>123</v>
      </c>
      <c r="B381" s="9" t="s">
        <v>111</v>
      </c>
      <c r="C381" s="36">
        <v>45851</v>
      </c>
      <c r="D381" s="36">
        <v>45862</v>
      </c>
      <c r="E381" s="9">
        <v>433</v>
      </c>
      <c r="F381" s="9">
        <v>348.29</v>
      </c>
      <c r="G381" s="9" t="s">
        <v>554</v>
      </c>
      <c r="H381" s="9" t="s">
        <v>555</v>
      </c>
    </row>
    <row r="382" spans="1:8" ht="14.25">
      <c r="A382" s="9">
        <v>123</v>
      </c>
      <c r="B382" s="9" t="s">
        <v>111</v>
      </c>
      <c r="C382" s="36">
        <v>45851</v>
      </c>
      <c r="D382" s="35">
        <v>45876</v>
      </c>
      <c r="E382" s="9">
        <v>431</v>
      </c>
      <c r="F382" s="9">
        <v>565.01</v>
      </c>
      <c r="G382" s="9" t="s">
        <v>554</v>
      </c>
      <c r="H382" s="9" t="s">
        <v>555</v>
      </c>
    </row>
    <row r="383" spans="1:8" ht="14.25">
      <c r="A383" s="9">
        <v>123</v>
      </c>
      <c r="B383" s="9" t="s">
        <v>111</v>
      </c>
      <c r="C383" s="36">
        <v>45851</v>
      </c>
      <c r="D383" s="35">
        <v>45876</v>
      </c>
      <c r="E383" s="9">
        <v>430</v>
      </c>
      <c r="F383" s="9">
        <v>348.29</v>
      </c>
      <c r="G383" s="9" t="s">
        <v>554</v>
      </c>
      <c r="H383" s="9" t="s">
        <v>555</v>
      </c>
    </row>
    <row r="384" spans="1:8" ht="14.25">
      <c r="A384" s="37" t="s">
        <v>398</v>
      </c>
      <c r="B384" s="38">
        <v>21</v>
      </c>
      <c r="C384" s="37"/>
      <c r="D384" s="37"/>
      <c r="E384" s="37"/>
      <c r="F384" s="38">
        <v>6363.71</v>
      </c>
      <c r="G384" s="37"/>
      <c r="H384" s="37"/>
    </row>
    <row r="385" spans="1:8" ht="14.25">
      <c r="A385" s="9">
        <v>45673</v>
      </c>
      <c r="B385" s="9" t="s">
        <v>110</v>
      </c>
      <c r="C385" s="35">
        <v>46058</v>
      </c>
      <c r="D385" s="36">
        <v>46095</v>
      </c>
      <c r="E385" s="9">
        <v>1402</v>
      </c>
      <c r="F385" s="9">
        <v>322.18</v>
      </c>
      <c r="G385" s="9" t="s">
        <v>554</v>
      </c>
      <c r="H385" s="9" t="s">
        <v>555</v>
      </c>
    </row>
    <row r="386" spans="1:8" ht="14.25">
      <c r="A386" s="9">
        <v>45673</v>
      </c>
      <c r="B386" s="9" t="s">
        <v>110</v>
      </c>
      <c r="C386" s="35">
        <v>46024</v>
      </c>
      <c r="D386" s="35">
        <v>46026</v>
      </c>
      <c r="E386" s="9">
        <v>1242</v>
      </c>
      <c r="F386" s="9">
        <v>824.47</v>
      </c>
      <c r="G386" s="9" t="s">
        <v>554</v>
      </c>
      <c r="H386" s="9" t="s">
        <v>555</v>
      </c>
    </row>
    <row r="387" spans="1:8" ht="14.25">
      <c r="A387" s="9">
        <v>45673</v>
      </c>
      <c r="B387" s="9" t="s">
        <v>110</v>
      </c>
      <c r="C387" s="36">
        <v>45991</v>
      </c>
      <c r="D387" s="35">
        <v>45999</v>
      </c>
      <c r="E387" s="9">
        <v>1118</v>
      </c>
      <c r="F387" s="9">
        <v>309.62</v>
      </c>
      <c r="G387" s="9" t="s">
        <v>554</v>
      </c>
      <c r="H387" s="9" t="s">
        <v>555</v>
      </c>
    </row>
    <row r="388" spans="1:8" ht="14.25">
      <c r="A388" s="9">
        <v>45673</v>
      </c>
      <c r="B388" s="9" t="s">
        <v>110</v>
      </c>
      <c r="C388" s="36">
        <v>45978</v>
      </c>
      <c r="D388" s="36">
        <v>45980</v>
      </c>
      <c r="E388" s="9">
        <v>1068</v>
      </c>
      <c r="F388" s="9">
        <v>567.04</v>
      </c>
      <c r="G388" s="9" t="s">
        <v>554</v>
      </c>
      <c r="H388" s="9" t="s">
        <v>555</v>
      </c>
    </row>
    <row r="389" spans="1:8" ht="14.25">
      <c r="A389" s="9">
        <v>45673</v>
      </c>
      <c r="B389" s="9" t="s">
        <v>110</v>
      </c>
      <c r="C389" s="36">
        <v>45961</v>
      </c>
      <c r="D389" s="35">
        <v>45962</v>
      </c>
      <c r="E389" s="9">
        <v>1022</v>
      </c>
      <c r="F389" s="9">
        <v>309.62</v>
      </c>
      <c r="G389" s="9" t="s">
        <v>554</v>
      </c>
      <c r="H389" s="9" t="s">
        <v>555</v>
      </c>
    </row>
    <row r="390" spans="1:8" ht="14.25">
      <c r="A390" s="9">
        <v>45673</v>
      </c>
      <c r="B390" s="9" t="s">
        <v>110</v>
      </c>
      <c r="C390" s="36">
        <v>45955</v>
      </c>
      <c r="D390" s="35">
        <v>45965</v>
      </c>
      <c r="E390" s="9">
        <v>1006</v>
      </c>
      <c r="F390" s="9">
        <v>412.38</v>
      </c>
      <c r="G390" s="9" t="s">
        <v>554</v>
      </c>
      <c r="H390" s="9" t="s">
        <v>555</v>
      </c>
    </row>
    <row r="391" spans="1:8" ht="14.25">
      <c r="A391" s="9">
        <v>45673</v>
      </c>
      <c r="B391" s="9" t="s">
        <v>110</v>
      </c>
      <c r="C391" s="35">
        <v>45936</v>
      </c>
      <c r="D391" s="36">
        <v>45955</v>
      </c>
      <c r="E391" s="9">
        <v>895</v>
      </c>
      <c r="F391" s="9">
        <v>423.58</v>
      </c>
      <c r="G391" s="9" t="s">
        <v>554</v>
      </c>
      <c r="H391" s="9" t="s">
        <v>555</v>
      </c>
    </row>
    <row r="392" spans="1:8" ht="14.25">
      <c r="A392" s="9">
        <v>45673</v>
      </c>
      <c r="B392" s="9" t="s">
        <v>110</v>
      </c>
      <c r="C392" s="35">
        <v>45933</v>
      </c>
      <c r="D392" s="35">
        <v>45935</v>
      </c>
      <c r="E392" s="9">
        <v>883</v>
      </c>
      <c r="F392" s="9">
        <v>191.59</v>
      </c>
      <c r="G392" s="9" t="s">
        <v>554</v>
      </c>
      <c r="H392" s="9" t="s">
        <v>555</v>
      </c>
    </row>
    <row r="393" spans="1:8" ht="14.25">
      <c r="A393" s="9">
        <v>45673</v>
      </c>
      <c r="B393" s="9" t="s">
        <v>110</v>
      </c>
      <c r="C393" s="35">
        <v>45932</v>
      </c>
      <c r="D393" s="35">
        <v>45936</v>
      </c>
      <c r="E393" s="9">
        <v>880</v>
      </c>
      <c r="F393" s="9">
        <v>618.94000000000005</v>
      </c>
      <c r="G393" s="9" t="s">
        <v>554</v>
      </c>
      <c r="H393" s="9" t="s">
        <v>555</v>
      </c>
    </row>
    <row r="394" spans="1:8" ht="14.25">
      <c r="A394" s="9">
        <v>45673</v>
      </c>
      <c r="B394" s="9" t="s">
        <v>110</v>
      </c>
      <c r="C394" s="36">
        <v>45923</v>
      </c>
      <c r="D394" s="36">
        <v>45928</v>
      </c>
      <c r="E394" s="9">
        <v>829</v>
      </c>
      <c r="F394" s="9">
        <v>567.04</v>
      </c>
      <c r="G394" s="9" t="s">
        <v>554</v>
      </c>
      <c r="H394" s="9" t="s">
        <v>555</v>
      </c>
    </row>
    <row r="395" spans="1:8" ht="14.25">
      <c r="A395" s="9">
        <v>45673</v>
      </c>
      <c r="B395" s="9" t="s">
        <v>110</v>
      </c>
      <c r="C395" s="36">
        <v>45913</v>
      </c>
      <c r="D395" s="36">
        <v>45927</v>
      </c>
      <c r="E395" s="9">
        <v>793</v>
      </c>
      <c r="F395" s="9">
        <v>309.62</v>
      </c>
      <c r="G395" s="9" t="s">
        <v>554</v>
      </c>
      <c r="H395" s="9" t="s">
        <v>555</v>
      </c>
    </row>
    <row r="396" spans="1:8" ht="14.25">
      <c r="A396" s="9">
        <v>45673</v>
      </c>
      <c r="B396" s="9" t="s">
        <v>110</v>
      </c>
      <c r="C396" s="35">
        <v>45908</v>
      </c>
      <c r="D396" s="35">
        <v>45909</v>
      </c>
      <c r="E396" s="9">
        <v>767</v>
      </c>
      <c r="F396" s="9">
        <v>309.62</v>
      </c>
      <c r="G396" s="9" t="s">
        <v>554</v>
      </c>
      <c r="H396" s="9" t="s">
        <v>555</v>
      </c>
    </row>
    <row r="397" spans="1:8" ht="14.25">
      <c r="A397" s="9">
        <v>45673</v>
      </c>
      <c r="B397" s="9" t="s">
        <v>110</v>
      </c>
      <c r="C397" s="36">
        <v>45895</v>
      </c>
      <c r="D397" s="36">
        <v>45897</v>
      </c>
      <c r="E397" s="9">
        <v>698</v>
      </c>
      <c r="F397" s="9">
        <v>309.62</v>
      </c>
      <c r="G397" s="9" t="s">
        <v>554</v>
      </c>
      <c r="H397" s="9" t="s">
        <v>555</v>
      </c>
    </row>
    <row r="398" spans="1:8" ht="14.25">
      <c r="A398" s="9">
        <v>123</v>
      </c>
      <c r="B398" s="9" t="s">
        <v>110</v>
      </c>
      <c r="C398" s="35">
        <v>45873</v>
      </c>
      <c r="D398" s="36">
        <v>46005</v>
      </c>
      <c r="E398" s="9">
        <v>552</v>
      </c>
      <c r="F398" s="9">
        <v>362.55</v>
      </c>
      <c r="G398" s="9" t="s">
        <v>554</v>
      </c>
      <c r="H398" s="9" t="s">
        <v>555</v>
      </c>
    </row>
    <row r="399" spans="1:8" ht="14.25">
      <c r="A399" s="9">
        <v>123</v>
      </c>
      <c r="B399" s="9" t="s">
        <v>110</v>
      </c>
      <c r="C399" s="36">
        <v>45858</v>
      </c>
      <c r="D399" s="36">
        <v>45881</v>
      </c>
      <c r="E399" s="9">
        <v>468</v>
      </c>
      <c r="F399" s="9">
        <v>567.04999999999995</v>
      </c>
      <c r="G399" s="9" t="s">
        <v>554</v>
      </c>
      <c r="H399" s="9" t="s">
        <v>555</v>
      </c>
    </row>
    <row r="400" spans="1:8" ht="14.25">
      <c r="A400" s="9">
        <v>123</v>
      </c>
      <c r="B400" s="9" t="s">
        <v>110</v>
      </c>
      <c r="C400" s="36">
        <v>45855</v>
      </c>
      <c r="D400" s="36">
        <v>46013</v>
      </c>
      <c r="E400" s="9">
        <v>454</v>
      </c>
      <c r="F400" s="9">
        <v>314.94</v>
      </c>
      <c r="G400" s="9" t="s">
        <v>554</v>
      </c>
      <c r="H400" s="9" t="s">
        <v>555</v>
      </c>
    </row>
    <row r="401" spans="1:8" ht="14.25">
      <c r="A401" s="37" t="s">
        <v>398</v>
      </c>
      <c r="B401" s="38">
        <v>16</v>
      </c>
      <c r="C401" s="37"/>
      <c r="D401" s="37"/>
      <c r="E401" s="37"/>
      <c r="F401" s="38">
        <v>6719.86</v>
      </c>
      <c r="G401" s="37"/>
      <c r="H401" s="37"/>
    </row>
    <row r="402" spans="1:8" ht="14.25">
      <c r="A402" s="9">
        <v>45673</v>
      </c>
      <c r="B402" s="9" t="s">
        <v>103</v>
      </c>
      <c r="C402" s="36">
        <v>46042</v>
      </c>
      <c r="D402" s="35">
        <v>46243</v>
      </c>
      <c r="E402" s="9">
        <v>1343</v>
      </c>
      <c r="F402" s="9">
        <v>546.26</v>
      </c>
      <c r="G402" s="9" t="s">
        <v>554</v>
      </c>
      <c r="H402" s="9" t="s">
        <v>555</v>
      </c>
    </row>
    <row r="403" spans="1:8" ht="14.25">
      <c r="A403" s="9">
        <v>45673</v>
      </c>
      <c r="B403" s="9" t="s">
        <v>103</v>
      </c>
      <c r="C403" s="36">
        <v>46013</v>
      </c>
      <c r="D403" s="35">
        <v>46024</v>
      </c>
      <c r="E403" s="9">
        <v>1200</v>
      </c>
      <c r="F403" s="9">
        <v>473.43</v>
      </c>
      <c r="G403" s="9" t="s">
        <v>554</v>
      </c>
      <c r="H403" s="9" t="s">
        <v>555</v>
      </c>
    </row>
    <row r="404" spans="1:8" ht="14.25">
      <c r="A404" s="9">
        <v>45673</v>
      </c>
      <c r="B404" s="9" t="s">
        <v>103</v>
      </c>
      <c r="C404" s="35">
        <v>45992</v>
      </c>
      <c r="D404" s="36">
        <v>46222</v>
      </c>
      <c r="E404" s="9">
        <v>1125</v>
      </c>
      <c r="F404" s="9">
        <v>610.79</v>
      </c>
      <c r="G404" s="9" t="s">
        <v>554</v>
      </c>
      <c r="H404" s="9" t="s">
        <v>555</v>
      </c>
    </row>
    <row r="405" spans="1:8" ht="14.25">
      <c r="A405" s="9">
        <v>45673</v>
      </c>
      <c r="B405" s="9" t="s">
        <v>103</v>
      </c>
      <c r="C405" s="36">
        <v>45987</v>
      </c>
      <c r="D405" s="35">
        <v>46113</v>
      </c>
      <c r="E405" s="9">
        <v>1108</v>
      </c>
      <c r="F405" s="9">
        <v>414.3</v>
      </c>
      <c r="G405" s="9" t="s">
        <v>554</v>
      </c>
      <c r="H405" s="9" t="s">
        <v>555</v>
      </c>
    </row>
    <row r="406" spans="1:8" ht="14.25">
      <c r="A406" s="9">
        <v>45673</v>
      </c>
      <c r="B406" s="9" t="s">
        <v>103</v>
      </c>
      <c r="C406" s="36">
        <v>45948</v>
      </c>
      <c r="D406" s="35">
        <v>45997</v>
      </c>
      <c r="E406" s="9">
        <v>969</v>
      </c>
      <c r="F406" s="9">
        <v>765.68</v>
      </c>
      <c r="G406" s="9" t="s">
        <v>554</v>
      </c>
      <c r="H406" s="9" t="s">
        <v>555</v>
      </c>
    </row>
    <row r="407" spans="1:8" ht="14.25">
      <c r="A407" s="9">
        <v>45673</v>
      </c>
      <c r="B407" s="9" t="s">
        <v>103</v>
      </c>
      <c r="C407" s="36">
        <v>45947</v>
      </c>
      <c r="D407" s="36">
        <v>45949</v>
      </c>
      <c r="E407" s="9">
        <v>956</v>
      </c>
      <c r="F407" s="9">
        <v>221.79</v>
      </c>
      <c r="G407" s="9" t="s">
        <v>554</v>
      </c>
      <c r="H407" s="9" t="s">
        <v>555</v>
      </c>
    </row>
    <row r="408" spans="1:8" ht="14.25">
      <c r="A408" s="9">
        <v>45673</v>
      </c>
      <c r="B408" s="9" t="s">
        <v>103</v>
      </c>
      <c r="C408" s="36">
        <v>45944</v>
      </c>
      <c r="D408" s="36">
        <v>45950</v>
      </c>
      <c r="E408" s="9">
        <v>930</v>
      </c>
      <c r="F408" s="9">
        <v>376.77</v>
      </c>
      <c r="G408" s="9" t="s">
        <v>554</v>
      </c>
      <c r="H408" s="9" t="s">
        <v>555</v>
      </c>
    </row>
    <row r="409" spans="1:8" ht="14.25">
      <c r="A409" s="9">
        <v>45673</v>
      </c>
      <c r="B409" s="9" t="s">
        <v>103</v>
      </c>
      <c r="C409" s="36">
        <v>45944</v>
      </c>
      <c r="D409" s="36">
        <v>45947</v>
      </c>
      <c r="E409" s="9">
        <v>928</v>
      </c>
      <c r="F409" s="9">
        <v>443.28</v>
      </c>
      <c r="G409" s="9" t="s">
        <v>554</v>
      </c>
      <c r="H409" s="9" t="s">
        <v>555</v>
      </c>
    </row>
    <row r="410" spans="1:8" ht="14.25">
      <c r="A410" s="9">
        <v>45673</v>
      </c>
      <c r="B410" s="9" t="s">
        <v>103</v>
      </c>
      <c r="C410" s="36">
        <v>45941</v>
      </c>
      <c r="D410" s="36">
        <v>45987</v>
      </c>
      <c r="E410" s="9">
        <v>918</v>
      </c>
      <c r="F410" s="9">
        <v>376.77</v>
      </c>
      <c r="G410" s="9" t="s">
        <v>554</v>
      </c>
      <c r="H410" s="9" t="s">
        <v>555</v>
      </c>
    </row>
    <row r="411" spans="1:8" ht="14.25">
      <c r="A411" s="9">
        <v>45673</v>
      </c>
      <c r="B411" s="9" t="s">
        <v>103</v>
      </c>
      <c r="C411" s="36">
        <v>45940</v>
      </c>
      <c r="D411" s="36">
        <v>45947</v>
      </c>
      <c r="E411" s="9">
        <v>914</v>
      </c>
      <c r="F411" s="9">
        <v>191.77</v>
      </c>
      <c r="G411" s="9" t="s">
        <v>554</v>
      </c>
      <c r="H411" s="9" t="s">
        <v>555</v>
      </c>
    </row>
    <row r="412" spans="1:8" ht="14.25">
      <c r="A412" s="9">
        <v>45673</v>
      </c>
      <c r="B412" s="9" t="s">
        <v>103</v>
      </c>
      <c r="C412" s="35">
        <v>45939</v>
      </c>
      <c r="D412" s="36">
        <v>45943</v>
      </c>
      <c r="E412" s="9">
        <v>910</v>
      </c>
      <c r="F412" s="9">
        <v>376.77</v>
      </c>
      <c r="G412" s="9" t="s">
        <v>554</v>
      </c>
      <c r="H412" s="9" t="s">
        <v>555</v>
      </c>
    </row>
    <row r="413" spans="1:8" ht="14.25">
      <c r="A413" s="9">
        <v>45673</v>
      </c>
      <c r="B413" s="9" t="s">
        <v>103</v>
      </c>
      <c r="C413" s="35">
        <v>45937</v>
      </c>
      <c r="D413" s="36">
        <v>45941</v>
      </c>
      <c r="E413" s="9">
        <v>905</v>
      </c>
      <c r="F413" s="9">
        <v>473.43</v>
      </c>
      <c r="G413" s="9" t="s">
        <v>554</v>
      </c>
      <c r="H413" s="9" t="s">
        <v>555</v>
      </c>
    </row>
    <row r="414" spans="1:8" ht="14.25">
      <c r="A414" s="9">
        <v>45673</v>
      </c>
      <c r="B414" s="9" t="s">
        <v>103</v>
      </c>
      <c r="C414" s="35">
        <v>45932</v>
      </c>
      <c r="D414" s="35">
        <v>45935</v>
      </c>
      <c r="E414" s="9">
        <v>876</v>
      </c>
      <c r="F414" s="9">
        <v>565.01</v>
      </c>
      <c r="G414" s="9" t="s">
        <v>554</v>
      </c>
      <c r="H414" s="9" t="s">
        <v>555</v>
      </c>
    </row>
    <row r="415" spans="1:8" ht="14.25">
      <c r="A415" s="9">
        <v>45673</v>
      </c>
      <c r="B415" s="9" t="s">
        <v>103</v>
      </c>
      <c r="C415" s="35">
        <v>45931</v>
      </c>
      <c r="D415" s="36">
        <v>45945</v>
      </c>
      <c r="E415" s="9">
        <v>872</v>
      </c>
      <c r="F415" s="9">
        <v>376.77</v>
      </c>
      <c r="G415" s="9" t="s">
        <v>554</v>
      </c>
      <c r="H415" s="9" t="s">
        <v>555</v>
      </c>
    </row>
    <row r="416" spans="1:8" ht="14.25">
      <c r="A416" s="9">
        <v>45673</v>
      </c>
      <c r="B416" s="9" t="s">
        <v>103</v>
      </c>
      <c r="C416" s="36">
        <v>45929</v>
      </c>
      <c r="D416" s="35">
        <v>45937</v>
      </c>
      <c r="E416" s="9">
        <v>856</v>
      </c>
      <c r="F416" s="9">
        <v>661.67</v>
      </c>
      <c r="G416" s="9" t="s">
        <v>554</v>
      </c>
      <c r="H416" s="9" t="s">
        <v>555</v>
      </c>
    </row>
    <row r="417" spans="1:8" ht="14.25">
      <c r="A417" s="9">
        <v>45673</v>
      </c>
      <c r="B417" s="9" t="s">
        <v>103</v>
      </c>
      <c r="C417" s="36">
        <v>45924</v>
      </c>
      <c r="D417" s="36">
        <v>45925</v>
      </c>
      <c r="E417" s="9">
        <v>831</v>
      </c>
      <c r="F417" s="9">
        <v>473.43</v>
      </c>
      <c r="G417" s="9" t="s">
        <v>554</v>
      </c>
      <c r="H417" s="9" t="s">
        <v>555</v>
      </c>
    </row>
    <row r="418" spans="1:8" ht="14.25">
      <c r="A418" s="9">
        <v>45673</v>
      </c>
      <c r="B418" s="9" t="s">
        <v>103</v>
      </c>
      <c r="C418" s="35">
        <v>45909</v>
      </c>
      <c r="D418" s="36">
        <v>45913</v>
      </c>
      <c r="E418" s="9">
        <v>772</v>
      </c>
      <c r="F418" s="9">
        <v>188.53</v>
      </c>
      <c r="G418" s="9" t="s">
        <v>554</v>
      </c>
      <c r="H418" s="9" t="s">
        <v>555</v>
      </c>
    </row>
    <row r="419" spans="1:8" ht="14.25">
      <c r="A419" s="9">
        <v>123</v>
      </c>
      <c r="B419" s="9" t="s">
        <v>103</v>
      </c>
      <c r="C419" s="36">
        <v>45890</v>
      </c>
      <c r="D419" s="36">
        <v>45892</v>
      </c>
      <c r="E419" s="9">
        <v>662</v>
      </c>
      <c r="F419" s="9">
        <v>188.53</v>
      </c>
      <c r="G419" s="9" t="s">
        <v>554</v>
      </c>
      <c r="H419" s="9" t="s">
        <v>555</v>
      </c>
    </row>
    <row r="420" spans="1:8" ht="14.25">
      <c r="A420" s="9">
        <v>123</v>
      </c>
      <c r="B420" s="9" t="s">
        <v>103</v>
      </c>
      <c r="C420" s="36">
        <v>45880</v>
      </c>
      <c r="D420" s="36">
        <v>45913</v>
      </c>
      <c r="E420" s="9">
        <v>602</v>
      </c>
      <c r="F420" s="9">
        <v>188.53</v>
      </c>
      <c r="G420" s="9" t="s">
        <v>554</v>
      </c>
      <c r="H420" s="9" t="s">
        <v>555</v>
      </c>
    </row>
    <row r="421" spans="1:8" ht="14.25">
      <c r="A421" s="9">
        <v>123</v>
      </c>
      <c r="B421" s="9" t="s">
        <v>103</v>
      </c>
      <c r="C421" s="35">
        <v>45871</v>
      </c>
      <c r="D421" s="36">
        <v>45949</v>
      </c>
      <c r="E421" s="9">
        <v>542</v>
      </c>
      <c r="F421" s="9">
        <v>370</v>
      </c>
      <c r="G421" s="9" t="s">
        <v>554</v>
      </c>
      <c r="H421" s="9" t="s">
        <v>555</v>
      </c>
    </row>
    <row r="422" spans="1:8" ht="14.25">
      <c r="A422" s="9">
        <v>123</v>
      </c>
      <c r="B422" s="9" t="s">
        <v>103</v>
      </c>
      <c r="C422" s="35">
        <v>45839</v>
      </c>
      <c r="D422" s="35">
        <v>45843</v>
      </c>
      <c r="E422" s="9">
        <v>320</v>
      </c>
      <c r="F422" s="9">
        <v>376.22</v>
      </c>
      <c r="G422" s="9" t="s">
        <v>554</v>
      </c>
      <c r="H422" s="9" t="s">
        <v>555</v>
      </c>
    </row>
    <row r="423" spans="1:8" ht="14.25">
      <c r="A423" s="37" t="s">
        <v>398</v>
      </c>
      <c r="B423" s="38">
        <v>21</v>
      </c>
      <c r="C423" s="37"/>
      <c r="D423" s="37"/>
      <c r="E423" s="37"/>
      <c r="F423" s="38">
        <v>8659.73</v>
      </c>
      <c r="G423" s="37"/>
      <c r="H423" s="37"/>
    </row>
    <row r="424" spans="1:8" ht="14.25">
      <c r="A424" s="9">
        <v>45673</v>
      </c>
      <c r="B424" s="9" t="s">
        <v>101</v>
      </c>
      <c r="C424" s="36">
        <v>46047</v>
      </c>
      <c r="D424" s="36">
        <v>46074</v>
      </c>
      <c r="E424" s="9">
        <v>1371</v>
      </c>
      <c r="F424" s="9">
        <v>589.21</v>
      </c>
      <c r="G424" s="9" t="s">
        <v>554</v>
      </c>
      <c r="H424" s="9" t="s">
        <v>555</v>
      </c>
    </row>
    <row r="425" spans="1:8" ht="14.25">
      <c r="A425" s="9">
        <v>45673</v>
      </c>
      <c r="B425" s="9" t="s">
        <v>101</v>
      </c>
      <c r="C425" s="36">
        <v>46039</v>
      </c>
      <c r="D425" s="36">
        <v>46101</v>
      </c>
      <c r="E425" s="9">
        <v>1328</v>
      </c>
      <c r="F425" s="9">
        <v>849</v>
      </c>
      <c r="G425" s="9" t="s">
        <v>554</v>
      </c>
      <c r="H425" s="9" t="s">
        <v>555</v>
      </c>
    </row>
    <row r="426" spans="1:8" ht="14.25">
      <c r="A426" s="9">
        <v>45673</v>
      </c>
      <c r="B426" s="9" t="s">
        <v>101</v>
      </c>
      <c r="C426" s="36">
        <v>46038</v>
      </c>
      <c r="D426" s="36">
        <v>46039</v>
      </c>
      <c r="E426" s="9">
        <v>1316</v>
      </c>
      <c r="F426" s="9">
        <v>519.22</v>
      </c>
      <c r="G426" s="9" t="s">
        <v>554</v>
      </c>
      <c r="H426" s="9" t="s">
        <v>555</v>
      </c>
    </row>
    <row r="427" spans="1:8" ht="14.25">
      <c r="A427" s="9">
        <v>45673</v>
      </c>
      <c r="B427" s="9" t="s">
        <v>101</v>
      </c>
      <c r="C427" s="36">
        <v>46019</v>
      </c>
      <c r="D427" s="36">
        <v>46022</v>
      </c>
      <c r="E427" s="9">
        <v>1225</v>
      </c>
      <c r="F427" s="9">
        <v>528.15</v>
      </c>
      <c r="G427" s="9" t="s">
        <v>554</v>
      </c>
      <c r="H427" s="9" t="s">
        <v>555</v>
      </c>
    </row>
    <row r="428" spans="1:8" ht="14.25">
      <c r="A428" s="9">
        <v>45673</v>
      </c>
      <c r="B428" s="9" t="s">
        <v>101</v>
      </c>
      <c r="C428" s="35">
        <v>45999</v>
      </c>
      <c r="D428" s="35">
        <v>46000</v>
      </c>
      <c r="E428" s="9">
        <v>1152</v>
      </c>
      <c r="F428" s="9">
        <v>931.8</v>
      </c>
      <c r="G428" s="9" t="s">
        <v>554</v>
      </c>
      <c r="H428" s="9" t="s">
        <v>555</v>
      </c>
    </row>
    <row r="429" spans="1:8" ht="14.25">
      <c r="A429" s="9">
        <v>45673</v>
      </c>
      <c r="B429" s="9" t="s">
        <v>101</v>
      </c>
      <c r="C429" s="36">
        <v>45989</v>
      </c>
      <c r="D429" s="36">
        <v>45990</v>
      </c>
      <c r="E429" s="9">
        <v>1116</v>
      </c>
      <c r="F429" s="9">
        <v>458.17</v>
      </c>
      <c r="G429" s="9" t="s">
        <v>554</v>
      </c>
      <c r="H429" s="9" t="s">
        <v>555</v>
      </c>
    </row>
    <row r="430" spans="1:8" ht="14.25">
      <c r="A430" s="9">
        <v>45673</v>
      </c>
      <c r="B430" s="9" t="s">
        <v>101</v>
      </c>
      <c r="C430" s="35">
        <v>45966</v>
      </c>
      <c r="D430" s="36">
        <v>46014</v>
      </c>
      <c r="E430" s="9">
        <v>1038</v>
      </c>
      <c r="F430" s="9">
        <v>259.76</v>
      </c>
      <c r="G430" s="9" t="s">
        <v>554</v>
      </c>
      <c r="H430" s="9" t="s">
        <v>555</v>
      </c>
    </row>
    <row r="431" spans="1:8" ht="14.25">
      <c r="A431" s="9">
        <v>45673</v>
      </c>
      <c r="B431" s="9" t="s">
        <v>101</v>
      </c>
      <c r="C431" s="36">
        <v>45951</v>
      </c>
      <c r="D431" s="36">
        <v>45953</v>
      </c>
      <c r="E431" s="9">
        <v>989</v>
      </c>
      <c r="F431" s="9">
        <v>631.15</v>
      </c>
      <c r="G431" s="9" t="s">
        <v>554</v>
      </c>
      <c r="H431" s="9" t="s">
        <v>555</v>
      </c>
    </row>
    <row r="432" spans="1:8" ht="14.25">
      <c r="A432" s="9">
        <v>45673</v>
      </c>
      <c r="B432" s="9" t="s">
        <v>101</v>
      </c>
      <c r="C432" s="36">
        <v>45951</v>
      </c>
      <c r="D432" s="36">
        <v>45952</v>
      </c>
      <c r="E432" s="9">
        <v>989</v>
      </c>
      <c r="F432" s="9">
        <v>631.15</v>
      </c>
      <c r="G432" s="9" t="s">
        <v>554</v>
      </c>
      <c r="H432" s="9" t="s">
        <v>555</v>
      </c>
    </row>
    <row r="433" spans="1:8" ht="14.25">
      <c r="A433" s="9">
        <v>45673</v>
      </c>
      <c r="B433" s="9" t="s">
        <v>101</v>
      </c>
      <c r="C433" s="36">
        <v>45916</v>
      </c>
      <c r="D433" s="36">
        <v>45986</v>
      </c>
      <c r="E433" s="9">
        <v>808</v>
      </c>
      <c r="F433" s="9">
        <v>466.05</v>
      </c>
      <c r="G433" s="9" t="s">
        <v>554</v>
      </c>
      <c r="H433" s="9" t="s">
        <v>555</v>
      </c>
    </row>
    <row r="434" spans="1:8" ht="14.25">
      <c r="A434" s="9">
        <v>123</v>
      </c>
      <c r="B434" s="9" t="s">
        <v>101</v>
      </c>
      <c r="C434" s="36">
        <v>45864</v>
      </c>
      <c r="D434" s="36">
        <v>45866</v>
      </c>
      <c r="E434" s="9">
        <v>503</v>
      </c>
      <c r="F434" s="9">
        <v>1407.9</v>
      </c>
      <c r="G434" s="9" t="s">
        <v>554</v>
      </c>
      <c r="H434" s="9" t="s">
        <v>555</v>
      </c>
    </row>
    <row r="435" spans="1:8" ht="14.25">
      <c r="A435" s="37" t="s">
        <v>398</v>
      </c>
      <c r="B435" s="38">
        <v>11</v>
      </c>
      <c r="C435" s="37"/>
      <c r="D435" s="37"/>
      <c r="E435" s="37"/>
      <c r="F435" s="38">
        <v>7271.56</v>
      </c>
      <c r="G435" s="37"/>
      <c r="H435" s="37"/>
    </row>
    <row r="436" spans="1:8" ht="14.25">
      <c r="A436" s="9">
        <v>123</v>
      </c>
      <c r="B436" s="9" t="s">
        <v>97</v>
      </c>
      <c r="C436" s="36">
        <v>46064</v>
      </c>
      <c r="D436" s="35">
        <v>46084</v>
      </c>
      <c r="E436" s="9">
        <v>1429</v>
      </c>
      <c r="F436" s="9">
        <v>1078.8399999999999</v>
      </c>
      <c r="G436" s="9" t="s">
        <v>556</v>
      </c>
      <c r="H436" s="9" t="s">
        <v>555</v>
      </c>
    </row>
    <row r="437" spans="1:8" ht="14.25">
      <c r="A437" s="9">
        <v>123</v>
      </c>
      <c r="B437" s="9" t="s">
        <v>97</v>
      </c>
      <c r="C437" s="36">
        <v>46032</v>
      </c>
      <c r="D437" s="36">
        <v>46315</v>
      </c>
      <c r="E437" s="9">
        <v>1290</v>
      </c>
      <c r="F437" s="9">
        <v>278.70999999999998</v>
      </c>
      <c r="G437" s="9" t="s">
        <v>556</v>
      </c>
      <c r="H437" s="9" t="s">
        <v>555</v>
      </c>
    </row>
    <row r="438" spans="1:8" ht="14.25">
      <c r="A438" s="9">
        <v>123</v>
      </c>
      <c r="B438" s="9" t="s">
        <v>97</v>
      </c>
      <c r="C438" s="36">
        <v>46011</v>
      </c>
      <c r="D438" s="36">
        <v>46039</v>
      </c>
      <c r="E438" s="9">
        <v>1197</v>
      </c>
      <c r="F438" s="9">
        <v>2055.65</v>
      </c>
      <c r="G438" s="9" t="s">
        <v>556</v>
      </c>
      <c r="H438" s="9" t="s">
        <v>555</v>
      </c>
    </row>
    <row r="439" spans="1:8" ht="14.25">
      <c r="A439" s="9">
        <v>123</v>
      </c>
      <c r="B439" s="9" t="s">
        <v>97</v>
      </c>
      <c r="C439" s="36">
        <v>45978</v>
      </c>
      <c r="D439" s="35">
        <v>45993</v>
      </c>
      <c r="E439" s="9">
        <v>1067</v>
      </c>
      <c r="F439" s="9">
        <v>548.85</v>
      </c>
      <c r="G439" s="9" t="s">
        <v>556</v>
      </c>
      <c r="H439" s="9" t="s">
        <v>555</v>
      </c>
    </row>
    <row r="440" spans="1:8" ht="14.25">
      <c r="A440" s="9">
        <v>123</v>
      </c>
      <c r="B440" s="9" t="s">
        <v>97</v>
      </c>
      <c r="C440" s="36">
        <v>45952</v>
      </c>
      <c r="D440" s="36">
        <v>46109</v>
      </c>
      <c r="E440" s="9">
        <v>995</v>
      </c>
      <c r="F440" s="9">
        <v>274.57</v>
      </c>
      <c r="G440" s="9" t="s">
        <v>556</v>
      </c>
      <c r="H440" s="9" t="s">
        <v>555</v>
      </c>
    </row>
    <row r="441" spans="1:8" ht="14.25">
      <c r="A441" s="9">
        <v>123</v>
      </c>
      <c r="B441" s="9" t="s">
        <v>97</v>
      </c>
      <c r="C441" s="35">
        <v>45931</v>
      </c>
      <c r="D441" s="35">
        <v>45937</v>
      </c>
      <c r="E441" s="9">
        <v>870</v>
      </c>
      <c r="F441" s="9">
        <v>977.1</v>
      </c>
      <c r="G441" s="9" t="s">
        <v>556</v>
      </c>
      <c r="H441" s="9" t="s">
        <v>555</v>
      </c>
    </row>
    <row r="442" spans="1:8" ht="14.25">
      <c r="A442" s="9">
        <v>123</v>
      </c>
      <c r="B442" s="9" t="s">
        <v>97</v>
      </c>
      <c r="C442" s="36">
        <v>45913</v>
      </c>
      <c r="D442" s="35">
        <v>45965</v>
      </c>
      <c r="E442" s="9">
        <v>792</v>
      </c>
      <c r="F442" s="9">
        <v>1097.4000000000001</v>
      </c>
      <c r="G442" s="9" t="s">
        <v>556</v>
      </c>
      <c r="H442" s="9" t="s">
        <v>555</v>
      </c>
    </row>
    <row r="443" spans="1:8" ht="14.25">
      <c r="A443" s="9" t="s">
        <v>557</v>
      </c>
      <c r="B443" s="9" t="s">
        <v>97</v>
      </c>
      <c r="C443" s="36">
        <v>45887</v>
      </c>
      <c r="D443" s="35">
        <v>45909</v>
      </c>
      <c r="E443" s="9">
        <v>643</v>
      </c>
      <c r="F443" s="9">
        <v>539.57000000000005</v>
      </c>
      <c r="G443" s="9" t="s">
        <v>556</v>
      </c>
      <c r="H443" s="9" t="s">
        <v>555</v>
      </c>
    </row>
    <row r="444" spans="1:8" ht="14.25">
      <c r="A444" s="9" t="s">
        <v>557</v>
      </c>
      <c r="B444" s="9" t="s">
        <v>97</v>
      </c>
      <c r="C444" s="35">
        <v>45875</v>
      </c>
      <c r="D444" s="35">
        <v>45878</v>
      </c>
      <c r="E444" s="9">
        <v>561</v>
      </c>
      <c r="F444" s="9">
        <v>539.57000000000005</v>
      </c>
      <c r="G444" s="9" t="s">
        <v>556</v>
      </c>
      <c r="H444" s="9" t="s">
        <v>555</v>
      </c>
    </row>
    <row r="445" spans="1:8" ht="14.25">
      <c r="A445" s="9" t="s">
        <v>557</v>
      </c>
      <c r="B445" s="9" t="s">
        <v>97</v>
      </c>
      <c r="C445" s="35">
        <v>45845</v>
      </c>
      <c r="D445" s="36">
        <v>45848</v>
      </c>
      <c r="E445" s="9">
        <v>388</v>
      </c>
      <c r="F445" s="9">
        <v>364.54</v>
      </c>
      <c r="G445" s="9" t="s">
        <v>556</v>
      </c>
      <c r="H445" s="9" t="s">
        <v>555</v>
      </c>
    </row>
    <row r="446" spans="1:8" ht="14.25">
      <c r="A446" s="9" t="s">
        <v>557</v>
      </c>
      <c r="B446" s="9" t="s">
        <v>97</v>
      </c>
      <c r="C446" s="35">
        <v>45844</v>
      </c>
      <c r="D446" s="36">
        <v>45881</v>
      </c>
      <c r="E446" s="9">
        <v>381</v>
      </c>
      <c r="F446" s="9">
        <v>364.54</v>
      </c>
      <c r="G446" s="9" t="s">
        <v>556</v>
      </c>
      <c r="H446" s="9" t="s">
        <v>555</v>
      </c>
    </row>
    <row r="447" spans="1:8" ht="14.25">
      <c r="A447" s="9" t="s">
        <v>557</v>
      </c>
      <c r="B447" s="9" t="s">
        <v>97</v>
      </c>
      <c r="C447" s="36">
        <v>45832</v>
      </c>
      <c r="D447" s="36">
        <v>45895</v>
      </c>
      <c r="E447" s="9">
        <v>274</v>
      </c>
      <c r="F447" s="9">
        <v>674.92</v>
      </c>
      <c r="G447" s="9" t="s">
        <v>556</v>
      </c>
      <c r="H447" s="9" t="s">
        <v>555</v>
      </c>
    </row>
    <row r="448" spans="1:8" ht="14.25">
      <c r="A448" s="9" t="s">
        <v>557</v>
      </c>
      <c r="B448" s="9" t="s">
        <v>97</v>
      </c>
      <c r="C448" s="36">
        <v>45832</v>
      </c>
      <c r="D448" s="36">
        <v>45895</v>
      </c>
      <c r="E448" s="9">
        <v>253</v>
      </c>
      <c r="F448" s="9">
        <v>589.58000000000004</v>
      </c>
      <c r="G448" s="9" t="s">
        <v>556</v>
      </c>
      <c r="H448" s="9" t="s">
        <v>555</v>
      </c>
    </row>
    <row r="449" spans="1:8" ht="14.25">
      <c r="A449" s="37" t="s">
        <v>398</v>
      </c>
      <c r="B449" s="38">
        <v>13</v>
      </c>
      <c r="C449" s="37"/>
      <c r="D449" s="37"/>
      <c r="E449" s="37"/>
      <c r="F449" s="38">
        <v>9383.84</v>
      </c>
      <c r="G449" s="37"/>
      <c r="H449" s="37"/>
    </row>
    <row r="450" spans="1:8" ht="14.25">
      <c r="A450" s="9">
        <v>45673</v>
      </c>
      <c r="B450" s="9" t="s">
        <v>237</v>
      </c>
      <c r="C450" s="35">
        <v>46062</v>
      </c>
      <c r="D450" s="36">
        <v>46068</v>
      </c>
      <c r="E450" s="9">
        <v>1414</v>
      </c>
      <c r="F450" s="9">
        <v>243.48</v>
      </c>
      <c r="G450" s="9" t="s">
        <v>554</v>
      </c>
      <c r="H450" s="9" t="s">
        <v>555</v>
      </c>
    </row>
    <row r="451" spans="1:8" ht="14.25">
      <c r="A451" s="9">
        <v>45673</v>
      </c>
      <c r="B451" s="9" t="s">
        <v>99</v>
      </c>
      <c r="C451" s="36">
        <v>45917</v>
      </c>
      <c r="D451" s="36">
        <v>46036</v>
      </c>
      <c r="E451" s="9">
        <v>811</v>
      </c>
      <c r="F451" s="9">
        <v>247.66</v>
      </c>
      <c r="G451" s="9" t="s">
        <v>554</v>
      </c>
      <c r="H451" s="9" t="s">
        <v>555</v>
      </c>
    </row>
    <row r="452" spans="1:8" ht="14.25">
      <c r="A452" s="9">
        <v>45673</v>
      </c>
      <c r="B452" s="9" t="s">
        <v>99</v>
      </c>
      <c r="C452" s="36">
        <v>45915</v>
      </c>
      <c r="D452" s="36">
        <v>45917</v>
      </c>
      <c r="E452" s="9">
        <v>803</v>
      </c>
      <c r="F452" s="9">
        <v>243.48</v>
      </c>
      <c r="G452" s="9" t="s">
        <v>554</v>
      </c>
      <c r="H452" s="9" t="s">
        <v>555</v>
      </c>
    </row>
    <row r="453" spans="1:8" ht="14.25">
      <c r="A453" s="9">
        <v>123</v>
      </c>
      <c r="B453" s="9" t="s">
        <v>99</v>
      </c>
      <c r="C453" s="36">
        <v>45913</v>
      </c>
      <c r="D453" s="36">
        <v>45930</v>
      </c>
      <c r="E453" s="9">
        <v>791</v>
      </c>
      <c r="F453" s="9">
        <v>495.03</v>
      </c>
      <c r="G453" s="9" t="s">
        <v>554</v>
      </c>
      <c r="H453" s="9" t="s">
        <v>555</v>
      </c>
    </row>
    <row r="454" spans="1:8" ht="14.25">
      <c r="A454" s="9">
        <v>45673</v>
      </c>
      <c r="B454" s="9" t="s">
        <v>99</v>
      </c>
      <c r="C454" s="36">
        <v>45912</v>
      </c>
      <c r="D454" s="36">
        <v>45918</v>
      </c>
      <c r="E454" s="9">
        <v>786</v>
      </c>
      <c r="F454" s="9">
        <v>668.79</v>
      </c>
      <c r="G454" s="9" t="s">
        <v>554</v>
      </c>
      <c r="H454" s="9" t="s">
        <v>555</v>
      </c>
    </row>
    <row r="455" spans="1:8" ht="14.25">
      <c r="A455" s="9">
        <v>45673</v>
      </c>
      <c r="B455" s="9" t="s">
        <v>99</v>
      </c>
      <c r="C455" s="35">
        <v>45909</v>
      </c>
      <c r="D455" s="36">
        <v>45929</v>
      </c>
      <c r="E455" s="9">
        <v>774</v>
      </c>
      <c r="F455" s="9">
        <v>247.66</v>
      </c>
      <c r="G455" s="9" t="s">
        <v>554</v>
      </c>
      <c r="H455" s="9" t="s">
        <v>555</v>
      </c>
    </row>
    <row r="456" spans="1:8" ht="14.25">
      <c r="A456" s="9">
        <v>45673</v>
      </c>
      <c r="B456" s="9" t="s">
        <v>99</v>
      </c>
      <c r="C456" s="36">
        <v>45893</v>
      </c>
      <c r="D456" s="36">
        <v>45899</v>
      </c>
      <c r="E456" s="9">
        <v>680</v>
      </c>
      <c r="F456" s="9">
        <v>729.84</v>
      </c>
      <c r="G456" s="9" t="s">
        <v>554</v>
      </c>
      <c r="H456" s="9" t="s">
        <v>555</v>
      </c>
    </row>
    <row r="457" spans="1:8" ht="14.25">
      <c r="A457" s="9">
        <v>45673</v>
      </c>
      <c r="B457" s="9" t="s">
        <v>99</v>
      </c>
      <c r="C457" s="36">
        <v>45892</v>
      </c>
      <c r="D457" s="36">
        <v>45912</v>
      </c>
      <c r="E457" s="9">
        <v>674</v>
      </c>
      <c r="F457" s="9">
        <v>486.66</v>
      </c>
      <c r="G457" s="9" t="s">
        <v>554</v>
      </c>
      <c r="H457" s="9" t="s">
        <v>555</v>
      </c>
    </row>
    <row r="458" spans="1:8" ht="14.25">
      <c r="A458" s="9">
        <v>123</v>
      </c>
      <c r="B458" s="9" t="s">
        <v>99</v>
      </c>
      <c r="C458" s="36">
        <v>45889</v>
      </c>
      <c r="D458" s="36">
        <v>45973</v>
      </c>
      <c r="E458" s="9">
        <v>659</v>
      </c>
      <c r="F458" s="9">
        <v>414.42</v>
      </c>
      <c r="G458" s="9" t="s">
        <v>554</v>
      </c>
      <c r="H458" s="9" t="s">
        <v>555</v>
      </c>
    </row>
    <row r="459" spans="1:8" ht="14.25">
      <c r="A459" s="9">
        <v>123</v>
      </c>
      <c r="B459" s="9" t="s">
        <v>99</v>
      </c>
      <c r="C459" s="36">
        <v>45864</v>
      </c>
      <c r="D459" s="36">
        <v>45869</v>
      </c>
      <c r="E459" s="9">
        <v>502</v>
      </c>
      <c r="F459" s="9">
        <v>927.66</v>
      </c>
      <c r="G459" s="9" t="s">
        <v>554</v>
      </c>
      <c r="H459" s="9" t="s">
        <v>555</v>
      </c>
    </row>
    <row r="460" spans="1:8" ht="14.25">
      <c r="A460" s="9">
        <v>123</v>
      </c>
      <c r="B460" s="9" t="s">
        <v>99</v>
      </c>
      <c r="C460" s="36">
        <v>45859</v>
      </c>
      <c r="D460" s="36">
        <v>45881</v>
      </c>
      <c r="E460" s="9">
        <v>474</v>
      </c>
      <c r="F460" s="9">
        <v>680.29</v>
      </c>
      <c r="G460" s="9" t="s">
        <v>554</v>
      </c>
      <c r="H460" s="9" t="s">
        <v>555</v>
      </c>
    </row>
    <row r="461" spans="1:8" ht="14.25">
      <c r="A461" s="9">
        <v>123</v>
      </c>
      <c r="B461" s="9" t="s">
        <v>99</v>
      </c>
      <c r="C461" s="36">
        <v>45857</v>
      </c>
      <c r="D461" s="36">
        <v>45860</v>
      </c>
      <c r="E461" s="9">
        <v>459</v>
      </c>
      <c r="F461" s="9">
        <v>243.48</v>
      </c>
      <c r="G461" s="9" t="s">
        <v>554</v>
      </c>
      <c r="H461" s="9" t="s">
        <v>555</v>
      </c>
    </row>
    <row r="462" spans="1:8" ht="14.25">
      <c r="A462" s="9">
        <v>123</v>
      </c>
      <c r="B462" s="9" t="s">
        <v>99</v>
      </c>
      <c r="C462" s="36">
        <v>45854</v>
      </c>
      <c r="D462" s="35">
        <v>45878</v>
      </c>
      <c r="E462" s="9">
        <v>443</v>
      </c>
      <c r="F462" s="9">
        <v>486.67</v>
      </c>
      <c r="G462" s="9" t="s">
        <v>554</v>
      </c>
      <c r="H462" s="9" t="s">
        <v>555</v>
      </c>
    </row>
    <row r="463" spans="1:8" ht="14.25">
      <c r="A463" s="9">
        <v>123</v>
      </c>
      <c r="B463" s="9" t="s">
        <v>99</v>
      </c>
      <c r="C463" s="36">
        <v>45851</v>
      </c>
      <c r="D463" s="36">
        <v>45888</v>
      </c>
      <c r="E463" s="9">
        <v>432</v>
      </c>
      <c r="F463" s="9">
        <v>243.48</v>
      </c>
      <c r="G463" s="9" t="s">
        <v>554</v>
      </c>
      <c r="H463" s="9" t="s">
        <v>555</v>
      </c>
    </row>
    <row r="464" spans="1:8" ht="14.25">
      <c r="A464" s="9">
        <v>123</v>
      </c>
      <c r="B464" s="9" t="s">
        <v>99</v>
      </c>
      <c r="C464" s="36">
        <v>45849</v>
      </c>
      <c r="D464" s="36">
        <v>45893</v>
      </c>
      <c r="E464" s="9">
        <v>413</v>
      </c>
      <c r="F464" s="9">
        <v>486.67</v>
      </c>
      <c r="G464" s="9" t="s">
        <v>554</v>
      </c>
      <c r="H464" s="9" t="s">
        <v>555</v>
      </c>
    </row>
    <row r="465" spans="1:8" ht="14.25">
      <c r="A465" s="9">
        <v>123</v>
      </c>
      <c r="B465" s="9" t="s">
        <v>99</v>
      </c>
      <c r="C465" s="35">
        <v>45839</v>
      </c>
      <c r="D465" s="36">
        <v>45849</v>
      </c>
      <c r="E465" s="9">
        <v>314</v>
      </c>
      <c r="F465" s="9">
        <v>243.12</v>
      </c>
      <c r="G465" s="9" t="s">
        <v>554</v>
      </c>
      <c r="H465" s="9" t="s">
        <v>555</v>
      </c>
    </row>
    <row r="466" spans="1:8" ht="14.25">
      <c r="A466" s="9">
        <v>45673</v>
      </c>
      <c r="B466" s="9" t="s">
        <v>99</v>
      </c>
      <c r="C466" s="36">
        <v>46064</v>
      </c>
      <c r="D466" s="36">
        <v>46066</v>
      </c>
      <c r="E466" s="9">
        <v>1430</v>
      </c>
      <c r="F466" s="9">
        <v>495.03</v>
      </c>
      <c r="G466" s="9" t="s">
        <v>554</v>
      </c>
      <c r="H466" s="9" t="s">
        <v>555</v>
      </c>
    </row>
    <row r="467" spans="1:8" ht="14.25">
      <c r="A467" s="9">
        <v>45673</v>
      </c>
      <c r="B467" s="9" t="s">
        <v>99</v>
      </c>
      <c r="C467" s="35">
        <v>46061</v>
      </c>
      <c r="D467" s="36">
        <v>46068</v>
      </c>
      <c r="E467" s="9">
        <v>1410</v>
      </c>
      <c r="F467" s="9">
        <v>486.66</v>
      </c>
      <c r="G467" s="9" t="s">
        <v>554</v>
      </c>
      <c r="H467" s="9" t="s">
        <v>555</v>
      </c>
    </row>
    <row r="468" spans="1:8" ht="14.25">
      <c r="A468" s="9">
        <v>45673</v>
      </c>
      <c r="B468" s="9" t="s">
        <v>99</v>
      </c>
      <c r="C468" s="35">
        <v>46057</v>
      </c>
      <c r="D468" s="41">
        <v>46152</v>
      </c>
      <c r="E468" s="9">
        <v>1395</v>
      </c>
      <c r="F468" s="9">
        <v>989.76</v>
      </c>
      <c r="G468" s="9" t="s">
        <v>554</v>
      </c>
      <c r="H468" s="9" t="s">
        <v>555</v>
      </c>
    </row>
    <row r="469" spans="1:8" ht="14.25">
      <c r="A469" s="9">
        <v>45673</v>
      </c>
      <c r="B469" s="9" t="s">
        <v>99</v>
      </c>
      <c r="C469" s="35">
        <v>46057</v>
      </c>
      <c r="D469" s="36">
        <v>46344</v>
      </c>
      <c r="E469" s="9">
        <v>1393</v>
      </c>
      <c r="F469" s="9">
        <v>989.76</v>
      </c>
      <c r="G469" s="9" t="s">
        <v>554</v>
      </c>
      <c r="H469" s="9" t="s">
        <v>555</v>
      </c>
    </row>
    <row r="470" spans="1:8" ht="14.25">
      <c r="A470" s="9">
        <v>45673</v>
      </c>
      <c r="B470" s="9" t="s">
        <v>99</v>
      </c>
      <c r="C470" s="36">
        <v>46048</v>
      </c>
      <c r="D470" s="35">
        <v>46089</v>
      </c>
      <c r="E470" s="9">
        <v>1369</v>
      </c>
      <c r="F470" s="9">
        <v>495.03</v>
      </c>
      <c r="G470" s="9" t="s">
        <v>554</v>
      </c>
      <c r="H470" s="9" t="s">
        <v>555</v>
      </c>
    </row>
    <row r="471" spans="1:8" ht="14.25">
      <c r="A471" s="9">
        <v>45673</v>
      </c>
      <c r="B471" s="9" t="s">
        <v>99</v>
      </c>
      <c r="C471" s="36">
        <v>46006</v>
      </c>
      <c r="D471" s="36">
        <v>46019</v>
      </c>
      <c r="E471" s="9">
        <v>1178</v>
      </c>
      <c r="F471" s="9">
        <v>243.48</v>
      </c>
      <c r="G471" s="9" t="s">
        <v>554</v>
      </c>
      <c r="H471" s="9" t="s">
        <v>555</v>
      </c>
    </row>
    <row r="472" spans="1:8" ht="14.25">
      <c r="A472" s="9">
        <v>45673</v>
      </c>
      <c r="B472" s="9" t="s">
        <v>99</v>
      </c>
      <c r="C472" s="36">
        <v>46005</v>
      </c>
      <c r="D472" s="36">
        <v>46014</v>
      </c>
      <c r="E472" s="9">
        <v>1172</v>
      </c>
      <c r="F472" s="9">
        <v>776.55</v>
      </c>
      <c r="G472" s="9" t="s">
        <v>554</v>
      </c>
      <c r="H472" s="9" t="s">
        <v>555</v>
      </c>
    </row>
    <row r="473" spans="1:8" ht="14.25">
      <c r="A473" s="9">
        <v>45673</v>
      </c>
      <c r="B473" s="9" t="s">
        <v>99</v>
      </c>
      <c r="C473" s="36">
        <v>46003</v>
      </c>
      <c r="D473" s="36">
        <v>46064</v>
      </c>
      <c r="E473" s="9">
        <v>1162</v>
      </c>
      <c r="F473" s="9">
        <v>973.03</v>
      </c>
      <c r="G473" s="9" t="s">
        <v>554</v>
      </c>
      <c r="H473" s="9" t="s">
        <v>555</v>
      </c>
    </row>
    <row r="474" spans="1:8" ht="14.25">
      <c r="A474" s="9">
        <v>45673</v>
      </c>
      <c r="B474" s="9" t="s">
        <v>99</v>
      </c>
      <c r="C474" s="36">
        <v>45987</v>
      </c>
      <c r="D474" s="35">
        <v>45993</v>
      </c>
      <c r="E474" s="9">
        <v>1109</v>
      </c>
      <c r="F474" s="9">
        <v>247.66</v>
      </c>
      <c r="G474" s="9" t="s">
        <v>554</v>
      </c>
      <c r="H474" s="9" t="s">
        <v>555</v>
      </c>
    </row>
    <row r="475" spans="1:8" ht="14.25">
      <c r="A475" s="9">
        <v>45673</v>
      </c>
      <c r="B475" s="9" t="s">
        <v>99</v>
      </c>
      <c r="C475" s="36">
        <v>45977</v>
      </c>
      <c r="D475" s="36">
        <v>45980</v>
      </c>
      <c r="E475" s="9">
        <v>1062</v>
      </c>
      <c r="F475" s="9">
        <v>486.66</v>
      </c>
      <c r="G475" s="9" t="s">
        <v>554</v>
      </c>
      <c r="H475" s="9" t="s">
        <v>555</v>
      </c>
    </row>
    <row r="476" spans="1:8" ht="14.25">
      <c r="A476" s="9">
        <v>45673</v>
      </c>
      <c r="B476" s="9" t="s">
        <v>99</v>
      </c>
      <c r="C476" s="35">
        <v>45967</v>
      </c>
      <c r="D476" s="35">
        <v>46030</v>
      </c>
      <c r="E476" s="9">
        <v>1042</v>
      </c>
      <c r="F476" s="9">
        <v>205.39</v>
      </c>
      <c r="G476" s="9" t="s">
        <v>554</v>
      </c>
      <c r="H476" s="9" t="s">
        <v>555</v>
      </c>
    </row>
    <row r="477" spans="1:8" ht="14.25">
      <c r="A477" s="9">
        <v>45673</v>
      </c>
      <c r="B477" s="9" t="s">
        <v>99</v>
      </c>
      <c r="C477" s="36">
        <v>45955</v>
      </c>
      <c r="D477" s="35">
        <v>45963</v>
      </c>
      <c r="E477" s="9">
        <v>1007</v>
      </c>
      <c r="F477" s="9">
        <v>495.03</v>
      </c>
      <c r="G477" s="9" t="s">
        <v>554</v>
      </c>
      <c r="H477" s="9" t="s">
        <v>555</v>
      </c>
    </row>
    <row r="478" spans="1:8" ht="14.25">
      <c r="A478" s="9">
        <v>45673</v>
      </c>
      <c r="B478" s="9" t="s">
        <v>99</v>
      </c>
      <c r="C478" s="36">
        <v>45949</v>
      </c>
      <c r="D478" s="35">
        <v>46208</v>
      </c>
      <c r="E478" s="9">
        <v>975</v>
      </c>
      <c r="F478" s="9">
        <v>2198.64</v>
      </c>
      <c r="G478" s="9" t="s">
        <v>554</v>
      </c>
      <c r="H478" s="9" t="s">
        <v>555</v>
      </c>
    </row>
    <row r="479" spans="1:8" ht="14.25">
      <c r="A479" s="37" t="s">
        <v>398</v>
      </c>
      <c r="B479" s="38">
        <v>29</v>
      </c>
      <c r="C479" s="37"/>
      <c r="D479" s="37"/>
      <c r="E479" s="37"/>
      <c r="F479" s="38">
        <v>16171.07</v>
      </c>
      <c r="G479" s="37"/>
      <c r="H479" s="37"/>
    </row>
    <row r="480" spans="1:8" ht="14.25">
      <c r="A480" s="9">
        <v>45673</v>
      </c>
      <c r="B480" s="9" t="s">
        <v>100</v>
      </c>
      <c r="C480" s="35">
        <v>45992</v>
      </c>
      <c r="D480" s="36">
        <v>46042</v>
      </c>
      <c r="E480" s="9">
        <v>1124</v>
      </c>
      <c r="F480" s="9">
        <v>264.22000000000003</v>
      </c>
      <c r="G480" s="9" t="s">
        <v>554</v>
      </c>
      <c r="H480" s="9" t="s">
        <v>555</v>
      </c>
    </row>
    <row r="481" spans="1:8" ht="14.25">
      <c r="A481" s="9">
        <v>45673</v>
      </c>
      <c r="B481" s="9" t="s">
        <v>100</v>
      </c>
      <c r="C481" s="36">
        <v>45942</v>
      </c>
      <c r="D481" s="36">
        <v>45944</v>
      </c>
      <c r="E481" s="9">
        <v>922</v>
      </c>
      <c r="F481" s="9">
        <v>264.22000000000003</v>
      </c>
      <c r="G481" s="9" t="s">
        <v>554</v>
      </c>
      <c r="H481" s="9" t="s">
        <v>555</v>
      </c>
    </row>
    <row r="482" spans="1:8" ht="14.25">
      <c r="A482" s="9">
        <v>45673</v>
      </c>
      <c r="B482" s="9" t="s">
        <v>100</v>
      </c>
      <c r="C482" s="35">
        <v>45937</v>
      </c>
      <c r="D482" s="35">
        <v>45939</v>
      </c>
      <c r="E482" s="9">
        <v>904</v>
      </c>
      <c r="F482" s="9">
        <v>264.22000000000003</v>
      </c>
      <c r="G482" s="9" t="s">
        <v>554</v>
      </c>
      <c r="H482" s="9" t="s">
        <v>555</v>
      </c>
    </row>
    <row r="483" spans="1:8" ht="14.25">
      <c r="A483" s="9">
        <v>45673</v>
      </c>
      <c r="B483" s="9" t="s">
        <v>100</v>
      </c>
      <c r="C483" s="35">
        <v>45901</v>
      </c>
      <c r="D483" s="36">
        <v>45925</v>
      </c>
      <c r="E483" s="9">
        <v>726</v>
      </c>
      <c r="F483" s="9">
        <v>264.22000000000003</v>
      </c>
      <c r="G483" s="9" t="s">
        <v>554</v>
      </c>
      <c r="H483" s="9" t="s">
        <v>555</v>
      </c>
    </row>
    <row r="484" spans="1:8" ht="14.25">
      <c r="A484" s="9">
        <v>123</v>
      </c>
      <c r="B484" s="9" t="s">
        <v>100</v>
      </c>
      <c r="C484" s="35">
        <v>45877</v>
      </c>
      <c r="D484" s="36">
        <v>45881</v>
      </c>
      <c r="E484" s="9">
        <v>580</v>
      </c>
      <c r="F484" s="9">
        <v>528.15</v>
      </c>
      <c r="G484" s="9" t="s">
        <v>554</v>
      </c>
      <c r="H484" s="9" t="s">
        <v>555</v>
      </c>
    </row>
    <row r="485" spans="1:8" ht="14.25">
      <c r="A485" s="9">
        <v>123</v>
      </c>
      <c r="B485" s="9" t="s">
        <v>100</v>
      </c>
      <c r="C485" s="35">
        <v>45872</v>
      </c>
      <c r="D485" s="35">
        <v>45876</v>
      </c>
      <c r="E485" s="9">
        <v>546</v>
      </c>
      <c r="F485" s="9">
        <v>528.15</v>
      </c>
      <c r="G485" s="9" t="s">
        <v>554</v>
      </c>
      <c r="H485" s="9" t="s">
        <v>555</v>
      </c>
    </row>
    <row r="486" spans="1:8" ht="14.25">
      <c r="A486" s="9">
        <v>123</v>
      </c>
      <c r="B486" s="9" t="s">
        <v>95</v>
      </c>
      <c r="C486" s="36">
        <v>46063</v>
      </c>
      <c r="D486" s="36">
        <v>46095</v>
      </c>
      <c r="E486" s="9">
        <v>1420</v>
      </c>
      <c r="F486" s="9">
        <v>1835.35</v>
      </c>
      <c r="G486" s="9" t="s">
        <v>556</v>
      </c>
      <c r="H486" s="9" t="s">
        <v>555</v>
      </c>
    </row>
    <row r="487" spans="1:8" ht="14.25">
      <c r="A487" s="37" t="s">
        <v>398</v>
      </c>
      <c r="B487" s="38">
        <v>7</v>
      </c>
      <c r="C487" s="37"/>
      <c r="D487" s="37"/>
      <c r="E487" s="37"/>
      <c r="F487" s="38">
        <v>3948.53</v>
      </c>
      <c r="G487" s="37"/>
      <c r="H487" s="37"/>
    </row>
    <row r="488" spans="1:8" ht="14.25">
      <c r="A488" s="9">
        <v>45673</v>
      </c>
      <c r="B488" s="9" t="s">
        <v>94</v>
      </c>
      <c r="C488" s="36">
        <v>46041</v>
      </c>
      <c r="D488" s="35">
        <v>46089</v>
      </c>
      <c r="E488" s="9">
        <v>1339</v>
      </c>
      <c r="F488" s="9">
        <v>1373.92</v>
      </c>
      <c r="G488" s="9" t="s">
        <v>554</v>
      </c>
      <c r="H488" s="9" t="s">
        <v>555</v>
      </c>
    </row>
    <row r="489" spans="1:8" ht="14.25">
      <c r="A489" s="9">
        <v>45673</v>
      </c>
      <c r="B489" s="9" t="s">
        <v>504</v>
      </c>
      <c r="C489" s="35">
        <v>46025</v>
      </c>
      <c r="D489" s="36">
        <v>46035</v>
      </c>
      <c r="E489" s="9">
        <v>1260</v>
      </c>
      <c r="F489" s="9">
        <v>270.25</v>
      </c>
      <c r="G489" s="9" t="s">
        <v>554</v>
      </c>
      <c r="H489" s="9" t="s">
        <v>555</v>
      </c>
    </row>
    <row r="490" spans="1:8" ht="14.25">
      <c r="A490" s="37" t="s">
        <v>398</v>
      </c>
      <c r="B490" s="38">
        <v>2</v>
      </c>
      <c r="C490" s="37"/>
      <c r="D490" s="37"/>
      <c r="E490" s="37"/>
      <c r="F490" s="38">
        <v>1644.17</v>
      </c>
      <c r="G490" s="37"/>
      <c r="H490" s="37"/>
    </row>
    <row r="491" spans="1:8" ht="14.25">
      <c r="A491" s="9">
        <v>45673</v>
      </c>
      <c r="B491" s="9" t="s">
        <v>92</v>
      </c>
      <c r="C491" s="36">
        <v>46017</v>
      </c>
      <c r="D491" s="36">
        <v>46137</v>
      </c>
      <c r="E491" s="9">
        <v>1215</v>
      </c>
      <c r="F491" s="9">
        <v>1434.81</v>
      </c>
      <c r="G491" s="9" t="s">
        <v>554</v>
      </c>
      <c r="H491" s="9" t="s">
        <v>555</v>
      </c>
    </row>
    <row r="492" spans="1:8" ht="14.25">
      <c r="A492" s="9">
        <v>45673</v>
      </c>
      <c r="B492" s="9" t="s">
        <v>92</v>
      </c>
      <c r="C492" s="36">
        <v>46012</v>
      </c>
      <c r="D492" s="36">
        <v>46015</v>
      </c>
      <c r="E492" s="9">
        <v>1199</v>
      </c>
      <c r="F492" s="9">
        <v>302.52</v>
      </c>
      <c r="G492" s="9" t="s">
        <v>554</v>
      </c>
      <c r="H492" s="9" t="s">
        <v>555</v>
      </c>
    </row>
    <row r="493" spans="1:8" ht="14.25">
      <c r="A493" s="9">
        <v>45673</v>
      </c>
      <c r="B493" s="9" t="s">
        <v>92</v>
      </c>
      <c r="C493" s="35">
        <v>45996</v>
      </c>
      <c r="D493" s="36">
        <v>46010</v>
      </c>
      <c r="E493" s="9">
        <v>1141</v>
      </c>
      <c r="F493" s="9">
        <v>956.64</v>
      </c>
      <c r="G493" s="9" t="s">
        <v>554</v>
      </c>
      <c r="H493" s="9" t="s">
        <v>555</v>
      </c>
    </row>
    <row r="494" spans="1:8" ht="14.25">
      <c r="A494" s="9">
        <v>45673</v>
      </c>
      <c r="B494" s="9" t="s">
        <v>92</v>
      </c>
      <c r="C494" s="35">
        <v>45994</v>
      </c>
      <c r="D494" s="35">
        <v>45995</v>
      </c>
      <c r="E494" s="9">
        <v>1131</v>
      </c>
      <c r="F494" s="9">
        <v>719.67</v>
      </c>
      <c r="G494" s="9" t="s">
        <v>554</v>
      </c>
      <c r="H494" s="9" t="s">
        <v>555</v>
      </c>
    </row>
    <row r="495" spans="1:8" ht="14.25">
      <c r="A495" s="9">
        <v>45673</v>
      </c>
      <c r="B495" s="9" t="s">
        <v>92</v>
      </c>
      <c r="C495" s="35">
        <v>45964</v>
      </c>
      <c r="D495" s="36">
        <v>46132</v>
      </c>
      <c r="E495" s="9">
        <v>1031</v>
      </c>
      <c r="F495" s="9">
        <v>633.72</v>
      </c>
      <c r="G495" s="9" t="s">
        <v>554</v>
      </c>
      <c r="H495" s="9" t="s">
        <v>555</v>
      </c>
    </row>
    <row r="496" spans="1:8" ht="14.25">
      <c r="A496" s="9">
        <v>45673</v>
      </c>
      <c r="B496" s="9" t="s">
        <v>92</v>
      </c>
      <c r="C496" s="36">
        <v>45959</v>
      </c>
      <c r="D496" s="36">
        <v>46076</v>
      </c>
      <c r="E496" s="9">
        <v>1018</v>
      </c>
      <c r="F496" s="9">
        <v>1016.67</v>
      </c>
      <c r="G496" s="9" t="s">
        <v>554</v>
      </c>
      <c r="H496" s="9" t="s">
        <v>555</v>
      </c>
    </row>
    <row r="497" spans="1:8" ht="14.25">
      <c r="A497" s="9">
        <v>45673</v>
      </c>
      <c r="B497" s="9" t="s">
        <v>90</v>
      </c>
      <c r="C497" s="36">
        <v>46050</v>
      </c>
      <c r="D497" s="36">
        <v>46052</v>
      </c>
      <c r="E497" s="9">
        <v>1377</v>
      </c>
      <c r="F497" s="9">
        <v>604.74</v>
      </c>
      <c r="G497" s="9" t="s">
        <v>554</v>
      </c>
      <c r="H497" s="9" t="s">
        <v>555</v>
      </c>
    </row>
    <row r="498" spans="1:8" ht="14.25">
      <c r="A498" s="9">
        <v>45673</v>
      </c>
      <c r="B498" s="9" t="s">
        <v>90</v>
      </c>
      <c r="C498" s="36">
        <v>46045</v>
      </c>
      <c r="D498" s="36">
        <v>46072</v>
      </c>
      <c r="E498" s="9">
        <v>1362</v>
      </c>
      <c r="F498" s="9">
        <v>1064.28</v>
      </c>
      <c r="G498" s="9" t="s">
        <v>554</v>
      </c>
      <c r="H498" s="9" t="s">
        <v>555</v>
      </c>
    </row>
    <row r="499" spans="1:8" ht="14.25">
      <c r="A499" s="9">
        <v>45673</v>
      </c>
      <c r="B499" s="9" t="s">
        <v>90</v>
      </c>
      <c r="C499" s="36">
        <v>46039</v>
      </c>
      <c r="D499" s="36">
        <v>46122</v>
      </c>
      <c r="E499" s="9">
        <v>1294</v>
      </c>
      <c r="F499" s="9">
        <v>926.1</v>
      </c>
      <c r="G499" s="9" t="s">
        <v>554</v>
      </c>
      <c r="H499" s="9" t="s">
        <v>555</v>
      </c>
    </row>
    <row r="500" spans="1:8" ht="14.25">
      <c r="A500" s="9">
        <v>45673</v>
      </c>
      <c r="B500" s="9" t="s">
        <v>90</v>
      </c>
      <c r="C500" s="35">
        <v>46028</v>
      </c>
      <c r="D500" s="36">
        <v>46035</v>
      </c>
      <c r="E500" s="9">
        <v>1279</v>
      </c>
      <c r="F500" s="9">
        <v>452.07</v>
      </c>
      <c r="G500" s="9" t="s">
        <v>554</v>
      </c>
      <c r="H500" s="9" t="s">
        <v>555</v>
      </c>
    </row>
    <row r="501" spans="1:8" ht="14.25">
      <c r="A501" s="9">
        <v>45673</v>
      </c>
      <c r="B501" s="9" t="s">
        <v>90</v>
      </c>
      <c r="C501" s="35">
        <v>45996</v>
      </c>
      <c r="D501" s="35">
        <v>46000</v>
      </c>
      <c r="E501" s="9">
        <v>1140</v>
      </c>
      <c r="F501" s="9">
        <v>645.39</v>
      </c>
      <c r="G501" s="9" t="s">
        <v>554</v>
      </c>
      <c r="H501" s="9" t="s">
        <v>555</v>
      </c>
    </row>
    <row r="502" spans="1:8" ht="14.25">
      <c r="A502" s="9">
        <v>45673</v>
      </c>
      <c r="B502" s="9" t="s">
        <v>90</v>
      </c>
      <c r="C502" s="36">
        <v>45988</v>
      </c>
      <c r="D502" s="35">
        <v>46025</v>
      </c>
      <c r="E502" s="9">
        <v>1115</v>
      </c>
      <c r="F502" s="9">
        <v>891.63</v>
      </c>
      <c r="G502" s="9" t="s">
        <v>554</v>
      </c>
      <c r="H502" s="9" t="s">
        <v>555</v>
      </c>
    </row>
    <row r="503" spans="1:8" ht="14.25">
      <c r="A503" s="9">
        <v>45673</v>
      </c>
      <c r="B503" s="9" t="s">
        <v>90</v>
      </c>
      <c r="C503" s="36">
        <v>45987</v>
      </c>
      <c r="D503" s="36">
        <v>45989</v>
      </c>
      <c r="E503" s="9">
        <v>1106</v>
      </c>
      <c r="F503" s="9">
        <v>762.06</v>
      </c>
      <c r="G503" s="9" t="s">
        <v>554</v>
      </c>
      <c r="H503" s="9" t="s">
        <v>555</v>
      </c>
    </row>
    <row r="504" spans="1:8" ht="14.25">
      <c r="A504" s="9">
        <v>45673</v>
      </c>
      <c r="B504" s="9" t="s">
        <v>90</v>
      </c>
      <c r="C504" s="36">
        <v>45980</v>
      </c>
      <c r="D504" s="36">
        <v>45983</v>
      </c>
      <c r="E504" s="9">
        <v>1079</v>
      </c>
      <c r="F504" s="9">
        <v>297.41000000000003</v>
      </c>
      <c r="G504" s="9" t="s">
        <v>554</v>
      </c>
      <c r="H504" s="9" t="s">
        <v>555</v>
      </c>
    </row>
    <row r="505" spans="1:8" ht="14.25">
      <c r="A505" s="9">
        <v>45673</v>
      </c>
      <c r="B505" s="9" t="s">
        <v>90</v>
      </c>
      <c r="C505" s="35">
        <v>45968</v>
      </c>
      <c r="D505" s="36">
        <v>45991</v>
      </c>
      <c r="E505" s="9">
        <v>1045</v>
      </c>
      <c r="F505" s="9">
        <v>604.74</v>
      </c>
      <c r="G505" s="9" t="s">
        <v>554</v>
      </c>
      <c r="H505" s="9" t="s">
        <v>555</v>
      </c>
    </row>
    <row r="506" spans="1:8" ht="14.25">
      <c r="A506" s="9">
        <v>45673</v>
      </c>
      <c r="B506" s="9" t="s">
        <v>90</v>
      </c>
      <c r="C506" s="35">
        <v>45962</v>
      </c>
      <c r="D506" s="36">
        <v>45974</v>
      </c>
      <c r="E506" s="9">
        <v>1023</v>
      </c>
      <c r="F506" s="9">
        <v>645.39</v>
      </c>
      <c r="G506" s="9" t="s">
        <v>554</v>
      </c>
      <c r="H506" s="9" t="s">
        <v>555</v>
      </c>
    </row>
    <row r="507" spans="1:8" ht="14.25">
      <c r="A507" s="9">
        <v>45673</v>
      </c>
      <c r="B507" s="9" t="s">
        <v>90</v>
      </c>
      <c r="C507" s="36">
        <v>45960</v>
      </c>
      <c r="D507" s="35">
        <v>45964</v>
      </c>
      <c r="E507" s="9">
        <v>1021</v>
      </c>
      <c r="F507" s="9">
        <v>1511.4</v>
      </c>
      <c r="G507" s="9" t="s">
        <v>554</v>
      </c>
      <c r="H507" s="9" t="s">
        <v>555</v>
      </c>
    </row>
    <row r="508" spans="1:8" ht="14.25">
      <c r="A508" s="37" t="s">
        <v>398</v>
      </c>
      <c r="B508" s="38">
        <v>17</v>
      </c>
      <c r="C508" s="37"/>
      <c r="D508" s="37"/>
      <c r="E508" s="37"/>
      <c r="F508" s="38">
        <v>13469.24</v>
      </c>
      <c r="G508" s="37"/>
      <c r="H508" s="37"/>
    </row>
    <row r="509" spans="1:8" ht="14.25">
      <c r="A509" s="9">
        <v>45673</v>
      </c>
      <c r="B509" s="9" t="s">
        <v>83</v>
      </c>
      <c r="C509" s="36">
        <v>45957</v>
      </c>
      <c r="D509" s="36">
        <v>46017</v>
      </c>
      <c r="E509" s="9">
        <v>1013</v>
      </c>
      <c r="F509" s="9">
        <v>1794.99</v>
      </c>
      <c r="G509" s="9" t="s">
        <v>554</v>
      </c>
      <c r="H509" s="9" t="s">
        <v>555</v>
      </c>
    </row>
    <row r="510" spans="1:8" ht="14.25">
      <c r="A510" s="9">
        <v>45673</v>
      </c>
      <c r="B510" s="9" t="s">
        <v>83</v>
      </c>
      <c r="C510" s="36">
        <v>45956</v>
      </c>
      <c r="D510" s="36">
        <v>45971</v>
      </c>
      <c r="E510" s="9">
        <v>1010</v>
      </c>
      <c r="F510" s="9">
        <v>1072.56</v>
      </c>
      <c r="G510" s="9" t="s">
        <v>554</v>
      </c>
      <c r="H510" s="9" t="s">
        <v>555</v>
      </c>
    </row>
    <row r="511" spans="1:8" ht="14.25">
      <c r="A511" s="9">
        <v>45673</v>
      </c>
      <c r="B511" s="9" t="s">
        <v>83</v>
      </c>
      <c r="C511" s="36">
        <v>45956</v>
      </c>
      <c r="D511" s="36">
        <v>45971</v>
      </c>
      <c r="E511" s="9">
        <v>1010</v>
      </c>
      <c r="F511" s="9">
        <v>1072.56</v>
      </c>
      <c r="G511" s="9" t="s">
        <v>554</v>
      </c>
      <c r="H511" s="9" t="s">
        <v>555</v>
      </c>
    </row>
    <row r="512" spans="1:8" ht="14.25">
      <c r="A512" s="9">
        <v>45673</v>
      </c>
      <c r="B512" s="9" t="s">
        <v>83</v>
      </c>
      <c r="C512" s="36">
        <v>45955</v>
      </c>
      <c r="D512" s="36">
        <v>46010</v>
      </c>
      <c r="E512" s="9">
        <v>1005</v>
      </c>
      <c r="F512" s="9">
        <v>742.39</v>
      </c>
      <c r="G512" s="9" t="s">
        <v>554</v>
      </c>
      <c r="H512" s="9" t="s">
        <v>555</v>
      </c>
    </row>
    <row r="513" spans="1:8" ht="14.25">
      <c r="A513" s="9">
        <v>45673</v>
      </c>
      <c r="B513" s="9" t="s">
        <v>83</v>
      </c>
      <c r="C513" s="36">
        <v>45954</v>
      </c>
      <c r="D513" s="36">
        <v>46255</v>
      </c>
      <c r="E513" s="9">
        <v>1002</v>
      </c>
      <c r="F513" s="9">
        <v>742.39</v>
      </c>
      <c r="G513" s="9" t="s">
        <v>554</v>
      </c>
      <c r="H513" s="9" t="s">
        <v>555</v>
      </c>
    </row>
    <row r="514" spans="1:8" ht="14.25">
      <c r="A514" s="9">
        <v>45673</v>
      </c>
      <c r="B514" s="9" t="s">
        <v>83</v>
      </c>
      <c r="C514" s="36">
        <v>45954</v>
      </c>
      <c r="D514" s="36">
        <v>45956</v>
      </c>
      <c r="E514" s="9">
        <v>1001</v>
      </c>
      <c r="F514" s="9">
        <v>536.41999999999996</v>
      </c>
      <c r="G514" s="9" t="s">
        <v>554</v>
      </c>
      <c r="H514" s="9" t="s">
        <v>555</v>
      </c>
    </row>
    <row r="515" spans="1:8" ht="14.25">
      <c r="A515" s="9">
        <v>45673</v>
      </c>
      <c r="B515" s="9" t="s">
        <v>83</v>
      </c>
      <c r="C515" s="36">
        <v>45953</v>
      </c>
      <c r="D515" s="36">
        <v>45956</v>
      </c>
      <c r="E515" s="9">
        <v>999</v>
      </c>
      <c r="F515" s="9">
        <v>268.36</v>
      </c>
      <c r="G515" s="9" t="s">
        <v>554</v>
      </c>
      <c r="H515" s="9" t="s">
        <v>555</v>
      </c>
    </row>
    <row r="516" spans="1:8" ht="14.25">
      <c r="A516" s="9">
        <v>45673</v>
      </c>
      <c r="B516" s="9" t="s">
        <v>83</v>
      </c>
      <c r="C516" s="36">
        <v>45953</v>
      </c>
      <c r="D516" s="35">
        <v>45966</v>
      </c>
      <c r="E516" s="9">
        <v>997</v>
      </c>
      <c r="F516" s="9">
        <v>536.41999999999996</v>
      </c>
      <c r="G516" s="9" t="s">
        <v>554</v>
      </c>
      <c r="H516" s="9" t="s">
        <v>555</v>
      </c>
    </row>
    <row r="517" spans="1:8" ht="14.25">
      <c r="A517" s="9">
        <v>45673</v>
      </c>
      <c r="B517" s="9" t="s">
        <v>83</v>
      </c>
      <c r="C517" s="36">
        <v>45952</v>
      </c>
      <c r="D517" s="36">
        <v>45955</v>
      </c>
      <c r="E517" s="9">
        <v>993</v>
      </c>
      <c r="F517" s="9">
        <v>536.41999999999996</v>
      </c>
      <c r="G517" s="9" t="s">
        <v>554</v>
      </c>
      <c r="H517" s="9" t="s">
        <v>555</v>
      </c>
    </row>
    <row r="518" spans="1:8" ht="14.25">
      <c r="A518" s="9">
        <v>45673</v>
      </c>
      <c r="B518" s="9" t="s">
        <v>83</v>
      </c>
      <c r="C518" s="36">
        <v>45949</v>
      </c>
      <c r="D518" s="36">
        <v>46003</v>
      </c>
      <c r="E518" s="9">
        <v>974</v>
      </c>
      <c r="F518" s="9">
        <v>268.36</v>
      </c>
      <c r="G518" s="9" t="s">
        <v>554</v>
      </c>
      <c r="H518" s="9" t="s">
        <v>555</v>
      </c>
    </row>
    <row r="519" spans="1:8" ht="14.25">
      <c r="A519" s="9">
        <v>45673</v>
      </c>
      <c r="B519" s="9" t="s">
        <v>83</v>
      </c>
      <c r="C519" s="36">
        <v>45941</v>
      </c>
      <c r="D519" s="36">
        <v>46008</v>
      </c>
      <c r="E519" s="9">
        <v>920</v>
      </c>
      <c r="F519" s="9">
        <v>897.64</v>
      </c>
      <c r="G519" s="9" t="s">
        <v>554</v>
      </c>
      <c r="H519" s="9" t="s">
        <v>555</v>
      </c>
    </row>
    <row r="520" spans="1:8" ht="14.25">
      <c r="A520" s="9">
        <v>45673</v>
      </c>
      <c r="B520" s="9" t="s">
        <v>83</v>
      </c>
      <c r="C520" s="36">
        <v>45940</v>
      </c>
      <c r="D520" s="36">
        <v>45961</v>
      </c>
      <c r="E520" s="9">
        <v>917</v>
      </c>
      <c r="F520" s="9">
        <v>536.41999999999996</v>
      </c>
      <c r="G520" s="9" t="s">
        <v>554</v>
      </c>
      <c r="H520" s="9" t="s">
        <v>555</v>
      </c>
    </row>
    <row r="521" spans="1:8" ht="14.25">
      <c r="A521" s="9">
        <v>45673</v>
      </c>
      <c r="B521" s="9" t="s">
        <v>83</v>
      </c>
      <c r="C521" s="35">
        <v>45935</v>
      </c>
      <c r="D521" s="36">
        <v>45978</v>
      </c>
      <c r="E521" s="9">
        <v>890</v>
      </c>
      <c r="F521" s="9">
        <v>536.41999999999996</v>
      </c>
      <c r="G521" s="9" t="s">
        <v>554</v>
      </c>
      <c r="H521" s="9" t="s">
        <v>555</v>
      </c>
    </row>
    <row r="522" spans="1:8" ht="14.25">
      <c r="A522" s="9">
        <v>45673</v>
      </c>
      <c r="B522" s="9" t="s">
        <v>83</v>
      </c>
      <c r="C522" s="35">
        <v>45931</v>
      </c>
      <c r="D522" s="36">
        <v>45942</v>
      </c>
      <c r="E522" s="9">
        <v>871</v>
      </c>
      <c r="F522" s="9">
        <v>527.36</v>
      </c>
      <c r="G522" s="9" t="s">
        <v>554</v>
      </c>
      <c r="H522" s="9" t="s">
        <v>555</v>
      </c>
    </row>
    <row r="523" spans="1:8" ht="14.25">
      <c r="A523" s="9">
        <v>45673</v>
      </c>
      <c r="B523" s="9" t="s">
        <v>83</v>
      </c>
      <c r="C523" s="36">
        <v>45930</v>
      </c>
      <c r="D523" s="36">
        <v>46004</v>
      </c>
      <c r="E523" s="9">
        <v>864</v>
      </c>
      <c r="F523" s="9">
        <v>536.41999999999996</v>
      </c>
      <c r="G523" s="9" t="s">
        <v>554</v>
      </c>
      <c r="H523" s="9" t="s">
        <v>555</v>
      </c>
    </row>
    <row r="524" spans="1:8" ht="14.25">
      <c r="A524" s="9">
        <v>45673</v>
      </c>
      <c r="B524" s="9" t="s">
        <v>83</v>
      </c>
      <c r="C524" s="36">
        <v>45929</v>
      </c>
      <c r="D524" s="36">
        <v>45940</v>
      </c>
      <c r="E524" s="9">
        <v>857</v>
      </c>
      <c r="F524" s="9">
        <v>263.83</v>
      </c>
      <c r="G524" s="9" t="s">
        <v>554</v>
      </c>
      <c r="H524" s="9" t="s">
        <v>555</v>
      </c>
    </row>
    <row r="525" spans="1:8" ht="14.25">
      <c r="A525" s="9">
        <v>45673</v>
      </c>
      <c r="B525" s="9" t="s">
        <v>83</v>
      </c>
      <c r="C525" s="36">
        <v>45929</v>
      </c>
      <c r="D525" s="36">
        <v>45940</v>
      </c>
      <c r="E525" s="9">
        <v>855</v>
      </c>
      <c r="F525" s="9">
        <v>507.01</v>
      </c>
      <c r="G525" s="9" t="s">
        <v>554</v>
      </c>
      <c r="H525" s="9" t="s">
        <v>555</v>
      </c>
    </row>
    <row r="526" spans="1:8" ht="14.25">
      <c r="A526" s="9">
        <v>45673</v>
      </c>
      <c r="B526" s="9" t="s">
        <v>83</v>
      </c>
      <c r="C526" s="36">
        <v>45928</v>
      </c>
      <c r="D526" s="35">
        <v>45969</v>
      </c>
      <c r="E526" s="9">
        <v>850</v>
      </c>
      <c r="F526" s="9">
        <v>536.41999999999996</v>
      </c>
      <c r="G526" s="9" t="s">
        <v>554</v>
      </c>
      <c r="H526" s="9" t="s">
        <v>555</v>
      </c>
    </row>
    <row r="527" spans="1:8" ht="14.25">
      <c r="A527" s="9">
        <v>45673</v>
      </c>
      <c r="B527" s="9" t="s">
        <v>83</v>
      </c>
      <c r="C527" s="36">
        <v>45928</v>
      </c>
      <c r="D527" s="36">
        <v>45929</v>
      </c>
      <c r="E527" s="9">
        <v>849</v>
      </c>
      <c r="F527" s="9">
        <v>263.83</v>
      </c>
      <c r="G527" s="9" t="s">
        <v>554</v>
      </c>
      <c r="H527" s="9" t="s">
        <v>555</v>
      </c>
    </row>
    <row r="528" spans="1:8" ht="14.25">
      <c r="A528" s="9">
        <v>45673</v>
      </c>
      <c r="B528" s="9" t="s">
        <v>83</v>
      </c>
      <c r="C528" s="36">
        <v>45927</v>
      </c>
      <c r="D528" s="36">
        <v>45945</v>
      </c>
      <c r="E528" s="9">
        <v>843</v>
      </c>
      <c r="F528" s="9">
        <v>527.36</v>
      </c>
      <c r="G528" s="9" t="s">
        <v>554</v>
      </c>
      <c r="H528" s="9" t="s">
        <v>555</v>
      </c>
    </row>
    <row r="529" spans="1:8" ht="14.25">
      <c r="A529" s="9">
        <v>45673</v>
      </c>
      <c r="B529" s="9" t="s">
        <v>83</v>
      </c>
      <c r="C529" s="36">
        <v>45926</v>
      </c>
      <c r="D529" s="36">
        <v>45928</v>
      </c>
      <c r="E529" s="9">
        <v>836</v>
      </c>
      <c r="F529" s="9">
        <v>263.83</v>
      </c>
      <c r="G529" s="9" t="s">
        <v>554</v>
      </c>
      <c r="H529" s="9" t="s">
        <v>555</v>
      </c>
    </row>
    <row r="530" spans="1:8" ht="14.25">
      <c r="A530" s="9">
        <v>45673</v>
      </c>
      <c r="B530" s="9" t="s">
        <v>83</v>
      </c>
      <c r="C530" s="36">
        <v>45926</v>
      </c>
      <c r="D530" s="36">
        <v>45945</v>
      </c>
      <c r="E530" s="9">
        <v>835</v>
      </c>
      <c r="F530" s="9">
        <v>1637.67</v>
      </c>
      <c r="G530" s="9" t="s">
        <v>554</v>
      </c>
      <c r="H530" s="9" t="s">
        <v>555</v>
      </c>
    </row>
    <row r="531" spans="1:8" ht="14.25">
      <c r="A531" s="9">
        <v>45673</v>
      </c>
      <c r="B531" s="9" t="s">
        <v>83</v>
      </c>
      <c r="C531" s="36">
        <v>45926</v>
      </c>
      <c r="D531" s="36">
        <v>45949</v>
      </c>
      <c r="E531" s="9">
        <v>834</v>
      </c>
      <c r="F531" s="9">
        <v>263.83</v>
      </c>
      <c r="G531" s="9" t="s">
        <v>554</v>
      </c>
      <c r="H531" s="9" t="s">
        <v>555</v>
      </c>
    </row>
    <row r="532" spans="1:8" ht="14.25">
      <c r="A532" s="9">
        <v>45673</v>
      </c>
      <c r="B532" s="9" t="s">
        <v>83</v>
      </c>
      <c r="C532" s="36">
        <v>45923</v>
      </c>
      <c r="D532" s="36">
        <v>45925</v>
      </c>
      <c r="E532" s="9">
        <v>827</v>
      </c>
      <c r="F532" s="9">
        <v>268.36</v>
      </c>
      <c r="G532" s="9" t="s">
        <v>554</v>
      </c>
      <c r="H532" s="9" t="s">
        <v>555</v>
      </c>
    </row>
    <row r="533" spans="1:8" ht="14.25">
      <c r="A533" s="9">
        <v>45673</v>
      </c>
      <c r="B533" s="9" t="s">
        <v>83</v>
      </c>
      <c r="C533" s="36">
        <v>45921</v>
      </c>
      <c r="D533" s="35">
        <v>45970</v>
      </c>
      <c r="E533" s="9">
        <v>824</v>
      </c>
      <c r="F533" s="9">
        <v>536.41999999999996</v>
      </c>
      <c r="G533" s="9" t="s">
        <v>554</v>
      </c>
      <c r="H533" s="9" t="s">
        <v>555</v>
      </c>
    </row>
    <row r="534" spans="1:8" ht="14.25">
      <c r="A534" s="9">
        <v>45673</v>
      </c>
      <c r="B534" s="9" t="s">
        <v>83</v>
      </c>
      <c r="C534" s="36">
        <v>45921</v>
      </c>
      <c r="D534" s="36">
        <v>45940</v>
      </c>
      <c r="E534" s="9">
        <v>823</v>
      </c>
      <c r="F534" s="9">
        <v>790.89</v>
      </c>
      <c r="G534" s="9" t="s">
        <v>554</v>
      </c>
      <c r="H534" s="9" t="s">
        <v>555</v>
      </c>
    </row>
    <row r="535" spans="1:8" ht="14.25">
      <c r="A535" s="9">
        <v>45673</v>
      </c>
      <c r="B535" s="9" t="s">
        <v>83</v>
      </c>
      <c r="C535" s="36">
        <v>45917</v>
      </c>
      <c r="D535" s="36">
        <v>45919</v>
      </c>
      <c r="E535" s="9">
        <v>812</v>
      </c>
      <c r="F535" s="9">
        <v>268.36</v>
      </c>
      <c r="G535" s="9" t="s">
        <v>554</v>
      </c>
      <c r="H535" s="9" t="s">
        <v>555</v>
      </c>
    </row>
    <row r="536" spans="1:8" ht="14.25">
      <c r="A536" s="9">
        <v>45673</v>
      </c>
      <c r="B536" s="9" t="s">
        <v>83</v>
      </c>
      <c r="C536" s="36">
        <v>45916</v>
      </c>
      <c r="D536" s="36">
        <v>45920</v>
      </c>
      <c r="E536" s="9">
        <v>807</v>
      </c>
      <c r="F536" s="9">
        <v>536.41999999999996</v>
      </c>
      <c r="G536" s="9" t="s">
        <v>554</v>
      </c>
      <c r="H536" s="9" t="s">
        <v>555</v>
      </c>
    </row>
    <row r="537" spans="1:8" ht="14.25">
      <c r="A537" s="9">
        <v>45673</v>
      </c>
      <c r="B537" s="9" t="s">
        <v>83</v>
      </c>
      <c r="C537" s="36">
        <v>45914</v>
      </c>
      <c r="D537" s="36">
        <v>45927</v>
      </c>
      <c r="E537" s="9">
        <v>802</v>
      </c>
      <c r="F537" s="9">
        <v>536.41999999999996</v>
      </c>
      <c r="G537" s="9" t="s">
        <v>554</v>
      </c>
      <c r="H537" s="9" t="s">
        <v>555</v>
      </c>
    </row>
    <row r="538" spans="1:8" ht="14.25">
      <c r="A538" s="9">
        <v>45673</v>
      </c>
      <c r="B538" s="9" t="s">
        <v>83</v>
      </c>
      <c r="C538" s="36">
        <v>45914</v>
      </c>
      <c r="D538" s="36">
        <v>45949</v>
      </c>
      <c r="E538" s="9">
        <v>799</v>
      </c>
      <c r="F538" s="9">
        <v>263.83</v>
      </c>
      <c r="G538" s="9" t="s">
        <v>554</v>
      </c>
      <c r="H538" s="9" t="s">
        <v>555</v>
      </c>
    </row>
    <row r="539" spans="1:8" ht="14.25">
      <c r="A539" s="9">
        <v>45673</v>
      </c>
      <c r="B539" s="9" t="s">
        <v>83</v>
      </c>
      <c r="C539" s="36">
        <v>45914</v>
      </c>
      <c r="D539" s="35">
        <v>45934</v>
      </c>
      <c r="E539" s="9">
        <v>798</v>
      </c>
      <c r="F539" s="9">
        <v>527.36</v>
      </c>
      <c r="G539" s="9" t="s">
        <v>554</v>
      </c>
      <c r="H539" s="9" t="s">
        <v>555</v>
      </c>
    </row>
    <row r="540" spans="1:8" ht="14.25">
      <c r="A540" s="9">
        <v>45673</v>
      </c>
      <c r="B540" s="9" t="s">
        <v>83</v>
      </c>
      <c r="C540" s="36">
        <v>45914</v>
      </c>
      <c r="D540" s="35">
        <v>45933</v>
      </c>
      <c r="E540" s="9">
        <v>797</v>
      </c>
      <c r="F540" s="9">
        <v>527.36</v>
      </c>
      <c r="G540" s="9" t="s">
        <v>554</v>
      </c>
      <c r="H540" s="9" t="s">
        <v>555</v>
      </c>
    </row>
    <row r="541" spans="1:8" ht="14.25">
      <c r="A541" s="9">
        <v>45673</v>
      </c>
      <c r="B541" s="9" t="s">
        <v>83</v>
      </c>
      <c r="C541" s="36">
        <v>45914</v>
      </c>
      <c r="D541" s="36">
        <v>45915</v>
      </c>
      <c r="E541" s="9">
        <v>796</v>
      </c>
      <c r="F541" s="9">
        <v>263.83</v>
      </c>
      <c r="G541" s="9" t="s">
        <v>554</v>
      </c>
      <c r="H541" s="9" t="s">
        <v>555</v>
      </c>
    </row>
    <row r="542" spans="1:8" ht="14.25">
      <c r="A542" s="9">
        <v>45673</v>
      </c>
      <c r="B542" s="9" t="s">
        <v>83</v>
      </c>
      <c r="C542" s="36">
        <v>45914</v>
      </c>
      <c r="D542" s="36">
        <v>45915</v>
      </c>
      <c r="E542" s="9">
        <v>795</v>
      </c>
      <c r="F542" s="9">
        <v>268.36</v>
      </c>
      <c r="G542" s="9" t="s">
        <v>554</v>
      </c>
      <c r="H542" s="9" t="s">
        <v>555</v>
      </c>
    </row>
    <row r="543" spans="1:8" ht="14.25">
      <c r="A543" s="9">
        <v>45673</v>
      </c>
      <c r="B543" s="9" t="s">
        <v>83</v>
      </c>
      <c r="C543" s="36">
        <v>45913</v>
      </c>
      <c r="D543" s="35">
        <v>45934</v>
      </c>
      <c r="E543" s="9">
        <v>790</v>
      </c>
      <c r="F543" s="9">
        <v>536.41999999999996</v>
      </c>
      <c r="G543" s="9" t="s">
        <v>554</v>
      </c>
      <c r="H543" s="9" t="s">
        <v>555</v>
      </c>
    </row>
    <row r="544" spans="1:8" ht="14.25">
      <c r="A544" s="9">
        <v>45673</v>
      </c>
      <c r="B544" s="9" t="s">
        <v>83</v>
      </c>
      <c r="C544" s="36">
        <v>45910</v>
      </c>
      <c r="D544" s="35">
        <v>45968</v>
      </c>
      <c r="E544" s="9">
        <v>781</v>
      </c>
      <c r="F544" s="9">
        <v>536.41999999999996</v>
      </c>
      <c r="G544" s="9" t="s">
        <v>554</v>
      </c>
      <c r="H544" s="9" t="s">
        <v>555</v>
      </c>
    </row>
    <row r="545" spans="1:8" ht="14.25">
      <c r="A545" s="9">
        <v>45673</v>
      </c>
      <c r="B545" s="9" t="s">
        <v>83</v>
      </c>
      <c r="C545" s="35">
        <v>45906</v>
      </c>
      <c r="D545" s="35">
        <v>45932</v>
      </c>
      <c r="E545" s="9">
        <v>760</v>
      </c>
      <c r="F545" s="9">
        <v>804.49</v>
      </c>
      <c r="G545" s="9" t="s">
        <v>554</v>
      </c>
      <c r="H545" s="9" t="s">
        <v>555</v>
      </c>
    </row>
    <row r="546" spans="1:8" ht="14.25">
      <c r="A546" s="9">
        <v>45673</v>
      </c>
      <c r="B546" s="9" t="s">
        <v>83</v>
      </c>
      <c r="C546" s="35">
        <v>45901</v>
      </c>
      <c r="D546" s="35">
        <v>46027</v>
      </c>
      <c r="E546" s="9">
        <v>728</v>
      </c>
      <c r="F546" s="9">
        <v>536.41999999999996</v>
      </c>
      <c r="G546" s="9" t="s">
        <v>554</v>
      </c>
      <c r="H546" s="9" t="s">
        <v>555</v>
      </c>
    </row>
    <row r="547" spans="1:8" ht="14.25">
      <c r="A547" s="9">
        <v>45673</v>
      </c>
      <c r="B547" s="9" t="s">
        <v>83</v>
      </c>
      <c r="C547" s="36">
        <v>45900</v>
      </c>
      <c r="D547" s="35">
        <v>46000</v>
      </c>
      <c r="E547" s="9">
        <v>724</v>
      </c>
      <c r="F547" s="9">
        <v>536.41999999999996</v>
      </c>
      <c r="G547" s="9" t="s">
        <v>554</v>
      </c>
      <c r="H547" s="9" t="s">
        <v>555</v>
      </c>
    </row>
    <row r="548" spans="1:8" ht="14.25">
      <c r="A548" s="9">
        <v>45673</v>
      </c>
      <c r="B548" s="9" t="s">
        <v>83</v>
      </c>
      <c r="C548" s="36">
        <v>45900</v>
      </c>
      <c r="D548" s="36">
        <v>45911</v>
      </c>
      <c r="E548" s="9">
        <v>723</v>
      </c>
      <c r="F548" s="9">
        <v>527.36</v>
      </c>
      <c r="G548" s="9" t="s">
        <v>554</v>
      </c>
      <c r="H548" s="9" t="s">
        <v>555</v>
      </c>
    </row>
    <row r="549" spans="1:8" ht="14.25">
      <c r="A549" s="9">
        <v>45673</v>
      </c>
      <c r="B549" s="9" t="s">
        <v>83</v>
      </c>
      <c r="C549" s="36">
        <v>45898</v>
      </c>
      <c r="D549" s="35">
        <v>45901</v>
      </c>
      <c r="E549" s="9">
        <v>720</v>
      </c>
      <c r="F549" s="9">
        <v>268.36</v>
      </c>
      <c r="G549" s="9" t="s">
        <v>554</v>
      </c>
      <c r="H549" s="9" t="s">
        <v>555</v>
      </c>
    </row>
    <row r="550" spans="1:8" ht="14.25">
      <c r="A550" s="9">
        <v>45673</v>
      </c>
      <c r="B550" s="9" t="s">
        <v>83</v>
      </c>
      <c r="C550" s="36">
        <v>45896</v>
      </c>
      <c r="D550" s="35">
        <v>46030</v>
      </c>
      <c r="E550" s="9">
        <v>705</v>
      </c>
      <c r="F550" s="9">
        <v>536.41999999999996</v>
      </c>
      <c r="G550" s="9" t="s">
        <v>554</v>
      </c>
      <c r="H550" s="9" t="s">
        <v>555</v>
      </c>
    </row>
    <row r="551" spans="1:8" ht="14.25">
      <c r="A551" s="9">
        <v>45673</v>
      </c>
      <c r="B551" s="9" t="s">
        <v>83</v>
      </c>
      <c r="C551" s="36">
        <v>45896</v>
      </c>
      <c r="D551" s="36">
        <v>45927</v>
      </c>
      <c r="E551" s="9">
        <v>704</v>
      </c>
      <c r="F551" s="9">
        <v>527.36</v>
      </c>
      <c r="G551" s="9" t="s">
        <v>554</v>
      </c>
      <c r="H551" s="9" t="s">
        <v>555</v>
      </c>
    </row>
    <row r="552" spans="1:8" ht="14.25">
      <c r="A552" s="9">
        <v>45673</v>
      </c>
      <c r="B552" s="9" t="s">
        <v>83</v>
      </c>
      <c r="C552" s="36">
        <v>45896</v>
      </c>
      <c r="D552" s="36">
        <v>45991</v>
      </c>
      <c r="E552" s="9">
        <v>702</v>
      </c>
      <c r="F552" s="9">
        <v>536.41999999999996</v>
      </c>
      <c r="G552" s="9" t="s">
        <v>554</v>
      </c>
      <c r="H552" s="9" t="s">
        <v>555</v>
      </c>
    </row>
    <row r="553" spans="1:8" ht="14.25">
      <c r="A553" s="9">
        <v>45673</v>
      </c>
      <c r="B553" s="9" t="s">
        <v>83</v>
      </c>
      <c r="C553" s="36">
        <v>45895</v>
      </c>
      <c r="D553" s="36">
        <v>45920</v>
      </c>
      <c r="E553" s="9">
        <v>699</v>
      </c>
      <c r="F553" s="9">
        <v>527.36</v>
      </c>
      <c r="G553" s="9" t="s">
        <v>554</v>
      </c>
      <c r="H553" s="9" t="s">
        <v>555</v>
      </c>
    </row>
    <row r="554" spans="1:8" ht="14.25">
      <c r="A554" s="9">
        <v>45673</v>
      </c>
      <c r="B554" s="9" t="s">
        <v>83</v>
      </c>
      <c r="C554" s="36">
        <v>45895</v>
      </c>
      <c r="D554" s="35">
        <v>45901</v>
      </c>
      <c r="E554" s="9">
        <v>690</v>
      </c>
      <c r="F554" s="9">
        <v>263.83</v>
      </c>
      <c r="G554" s="9" t="s">
        <v>554</v>
      </c>
      <c r="H554" s="9" t="s">
        <v>555</v>
      </c>
    </row>
    <row r="555" spans="1:8" ht="14.25">
      <c r="A555" s="9">
        <v>45673</v>
      </c>
      <c r="B555" s="9" t="s">
        <v>83</v>
      </c>
      <c r="C555" s="36">
        <v>45895</v>
      </c>
      <c r="D555" s="35">
        <v>45903</v>
      </c>
      <c r="E555" s="9">
        <v>689</v>
      </c>
      <c r="F555" s="9">
        <v>268.36</v>
      </c>
      <c r="G555" s="9" t="s">
        <v>554</v>
      </c>
      <c r="H555" s="9" t="s">
        <v>555</v>
      </c>
    </row>
    <row r="556" spans="1:8" ht="14.25">
      <c r="A556" s="9">
        <v>45673</v>
      </c>
      <c r="B556" s="9" t="s">
        <v>83</v>
      </c>
      <c r="C556" s="36">
        <v>45894</v>
      </c>
      <c r="D556" s="36">
        <v>45984</v>
      </c>
      <c r="E556" s="9">
        <v>685</v>
      </c>
      <c r="F556" s="9">
        <v>536.41999999999996</v>
      </c>
      <c r="G556" s="9" t="s">
        <v>554</v>
      </c>
      <c r="H556" s="9" t="s">
        <v>555</v>
      </c>
    </row>
    <row r="557" spans="1:8" ht="14.25">
      <c r="A557" s="9">
        <v>123</v>
      </c>
      <c r="B557" s="9" t="s">
        <v>83</v>
      </c>
      <c r="C557" s="36">
        <v>45891</v>
      </c>
      <c r="D557" s="36">
        <v>46019</v>
      </c>
      <c r="E557" s="9">
        <v>664</v>
      </c>
      <c r="F557" s="9">
        <v>1165.71</v>
      </c>
      <c r="G557" s="9" t="s">
        <v>554</v>
      </c>
      <c r="H557" s="9" t="s">
        <v>555</v>
      </c>
    </row>
    <row r="558" spans="1:8" ht="14.25">
      <c r="A558" s="9">
        <v>123</v>
      </c>
      <c r="B558" s="9" t="s">
        <v>83</v>
      </c>
      <c r="C558" s="36">
        <v>45887</v>
      </c>
      <c r="D558" s="36">
        <v>45948</v>
      </c>
      <c r="E558" s="9">
        <v>647</v>
      </c>
      <c r="F558" s="9">
        <v>536.41999999999996</v>
      </c>
      <c r="G558" s="9" t="s">
        <v>554</v>
      </c>
      <c r="H558" s="9" t="s">
        <v>555</v>
      </c>
    </row>
    <row r="559" spans="1:8" ht="14.25">
      <c r="A559" s="9">
        <v>123</v>
      </c>
      <c r="B559" s="9" t="s">
        <v>83</v>
      </c>
      <c r="C559" s="36">
        <v>45887</v>
      </c>
      <c r="D559" s="36">
        <v>45951</v>
      </c>
      <c r="E559" s="9">
        <v>642</v>
      </c>
      <c r="F559" s="9">
        <v>268.36</v>
      </c>
      <c r="G559" s="9" t="s">
        <v>554</v>
      </c>
      <c r="H559" s="9" t="s">
        <v>555</v>
      </c>
    </row>
    <row r="560" spans="1:8" ht="14.25">
      <c r="A560" s="9">
        <v>123</v>
      </c>
      <c r="B560" s="9" t="s">
        <v>83</v>
      </c>
      <c r="C560" s="36">
        <v>45883</v>
      </c>
      <c r="D560" s="35">
        <v>45908</v>
      </c>
      <c r="E560" s="9">
        <v>629</v>
      </c>
      <c r="F560" s="9">
        <v>507.01</v>
      </c>
      <c r="G560" s="9" t="s">
        <v>554</v>
      </c>
      <c r="H560" s="9" t="s">
        <v>555</v>
      </c>
    </row>
    <row r="561" spans="1:8" ht="14.25">
      <c r="A561" s="9">
        <v>123</v>
      </c>
      <c r="B561" s="9" t="s">
        <v>83</v>
      </c>
      <c r="C561" s="36">
        <v>45881</v>
      </c>
      <c r="D561" s="36">
        <v>45930</v>
      </c>
      <c r="E561" s="9">
        <v>605</v>
      </c>
      <c r="F561" s="9">
        <v>527.36</v>
      </c>
      <c r="G561" s="9" t="s">
        <v>554</v>
      </c>
      <c r="H561" s="9" t="s">
        <v>555</v>
      </c>
    </row>
    <row r="562" spans="1:8" ht="14.25">
      <c r="A562" s="9">
        <v>123</v>
      </c>
      <c r="B562" s="9" t="s">
        <v>83</v>
      </c>
      <c r="C562" s="35">
        <v>45878</v>
      </c>
      <c r="D562" s="35">
        <v>45903</v>
      </c>
      <c r="E562" s="9">
        <v>593</v>
      </c>
      <c r="F562" s="9">
        <v>536.41999999999996</v>
      </c>
      <c r="G562" s="9" t="s">
        <v>554</v>
      </c>
      <c r="H562" s="9" t="s">
        <v>555</v>
      </c>
    </row>
    <row r="563" spans="1:8" ht="14.25">
      <c r="A563" s="9">
        <v>123</v>
      </c>
      <c r="B563" s="9" t="s">
        <v>83</v>
      </c>
      <c r="C563" s="35">
        <v>45874</v>
      </c>
      <c r="D563" s="36">
        <v>45929</v>
      </c>
      <c r="E563" s="9">
        <v>556</v>
      </c>
      <c r="F563" s="9">
        <v>973.03</v>
      </c>
      <c r="G563" s="9" t="s">
        <v>554</v>
      </c>
      <c r="H563" s="9" t="s">
        <v>555</v>
      </c>
    </row>
    <row r="564" spans="1:8" ht="14.25">
      <c r="A564" s="9">
        <v>123</v>
      </c>
      <c r="B564" s="9" t="s">
        <v>83</v>
      </c>
      <c r="C564" s="35">
        <v>45873</v>
      </c>
      <c r="D564" s="35">
        <v>45936</v>
      </c>
      <c r="E564" s="9">
        <v>554</v>
      </c>
      <c r="F564" s="9">
        <v>268.36</v>
      </c>
      <c r="G564" s="9" t="s">
        <v>554</v>
      </c>
      <c r="H564" s="9" t="s">
        <v>555</v>
      </c>
    </row>
    <row r="565" spans="1:8" ht="14.25">
      <c r="A565" s="9">
        <v>123</v>
      </c>
      <c r="B565" s="9" t="s">
        <v>83</v>
      </c>
      <c r="C565" s="35">
        <v>45873</v>
      </c>
      <c r="D565" s="36">
        <v>45887</v>
      </c>
      <c r="E565" s="9">
        <v>551</v>
      </c>
      <c r="F565" s="9">
        <v>527.36</v>
      </c>
      <c r="G565" s="9" t="s">
        <v>554</v>
      </c>
      <c r="H565" s="9" t="s">
        <v>555</v>
      </c>
    </row>
    <row r="566" spans="1:8" ht="14.25">
      <c r="A566" s="9">
        <v>123</v>
      </c>
      <c r="B566" s="9" t="s">
        <v>83</v>
      </c>
      <c r="C566" s="35">
        <v>45871</v>
      </c>
      <c r="D566" s="36">
        <v>45898</v>
      </c>
      <c r="E566" s="9">
        <v>537</v>
      </c>
      <c r="F566" s="9">
        <v>259</v>
      </c>
      <c r="G566" s="9" t="s">
        <v>554</v>
      </c>
      <c r="H566" s="9" t="s">
        <v>555</v>
      </c>
    </row>
    <row r="567" spans="1:8" ht="14.25">
      <c r="A567" s="9">
        <v>123</v>
      </c>
      <c r="B567" s="9" t="s">
        <v>83</v>
      </c>
      <c r="C567" s="36">
        <v>45867</v>
      </c>
      <c r="D567" s="36">
        <v>45923</v>
      </c>
      <c r="E567" s="9">
        <v>520</v>
      </c>
      <c r="F567" s="9">
        <v>268.36</v>
      </c>
      <c r="G567" s="9" t="s">
        <v>554</v>
      </c>
      <c r="H567" s="9" t="s">
        <v>555</v>
      </c>
    </row>
    <row r="568" spans="1:8" ht="14.25">
      <c r="A568" s="9">
        <v>123</v>
      </c>
      <c r="B568" s="9" t="s">
        <v>83</v>
      </c>
      <c r="C568" s="36">
        <v>45865</v>
      </c>
      <c r="D568" s="36">
        <v>45882</v>
      </c>
      <c r="E568" s="9">
        <v>504</v>
      </c>
      <c r="F568" s="9">
        <v>518</v>
      </c>
      <c r="G568" s="9" t="s">
        <v>554</v>
      </c>
      <c r="H568" s="9" t="s">
        <v>555</v>
      </c>
    </row>
    <row r="569" spans="1:8" ht="14.25">
      <c r="A569" s="9">
        <v>123</v>
      </c>
      <c r="B569" s="9" t="s">
        <v>83</v>
      </c>
      <c r="C569" s="36">
        <v>45864</v>
      </c>
      <c r="D569" s="35">
        <v>45871</v>
      </c>
      <c r="E569" s="9">
        <v>501</v>
      </c>
      <c r="F569" s="9">
        <v>259</v>
      </c>
      <c r="G569" s="9" t="s">
        <v>554</v>
      </c>
      <c r="H569" s="9" t="s">
        <v>555</v>
      </c>
    </row>
    <row r="570" spans="1:8" ht="14.25">
      <c r="A570" s="9">
        <v>123</v>
      </c>
      <c r="B570" s="9" t="s">
        <v>83</v>
      </c>
      <c r="C570" s="36">
        <v>45862</v>
      </c>
      <c r="D570" s="35">
        <v>45904</v>
      </c>
      <c r="E570" s="9">
        <v>496</v>
      </c>
      <c r="F570" s="9">
        <v>536.41999999999996</v>
      </c>
      <c r="G570" s="9" t="s">
        <v>554</v>
      </c>
      <c r="H570" s="9" t="s">
        <v>555</v>
      </c>
    </row>
    <row r="571" spans="1:8" ht="14.25">
      <c r="A571" s="9">
        <v>123</v>
      </c>
      <c r="B571" s="9" t="s">
        <v>83</v>
      </c>
      <c r="C571" s="36">
        <v>45861</v>
      </c>
      <c r="D571" s="36">
        <v>45863</v>
      </c>
      <c r="E571" s="9">
        <v>482</v>
      </c>
      <c r="F571" s="9">
        <v>263.83</v>
      </c>
      <c r="G571" s="9" t="s">
        <v>554</v>
      </c>
      <c r="H571" s="9" t="s">
        <v>555</v>
      </c>
    </row>
    <row r="572" spans="1:8" ht="14.25">
      <c r="A572" s="9">
        <v>123</v>
      </c>
      <c r="B572" s="9" t="s">
        <v>83</v>
      </c>
      <c r="C572" s="36">
        <v>45858</v>
      </c>
      <c r="D572" s="36">
        <v>45859</v>
      </c>
      <c r="E572" s="9">
        <v>464</v>
      </c>
      <c r="F572" s="9">
        <v>263.83</v>
      </c>
      <c r="G572" s="9" t="s">
        <v>554</v>
      </c>
      <c r="H572" s="9" t="s">
        <v>555</v>
      </c>
    </row>
    <row r="573" spans="1:8" ht="14.25">
      <c r="A573" s="9">
        <v>123</v>
      </c>
      <c r="B573" s="9" t="s">
        <v>83</v>
      </c>
      <c r="C573" s="36">
        <v>45857</v>
      </c>
      <c r="D573" s="36">
        <v>45915</v>
      </c>
      <c r="E573" s="9">
        <v>460</v>
      </c>
      <c r="F573" s="9">
        <v>536.42999999999995</v>
      </c>
      <c r="G573" s="9" t="s">
        <v>554</v>
      </c>
      <c r="H573" s="9" t="s">
        <v>555</v>
      </c>
    </row>
    <row r="574" spans="1:8" ht="14.25">
      <c r="A574" s="9">
        <v>123</v>
      </c>
      <c r="B574" s="9" t="s">
        <v>83</v>
      </c>
      <c r="C574" s="36">
        <v>45850</v>
      </c>
      <c r="D574" s="35">
        <v>45906</v>
      </c>
      <c r="E574" s="9">
        <v>428</v>
      </c>
      <c r="F574" s="9">
        <v>536.42999999999995</v>
      </c>
      <c r="G574" s="9" t="s">
        <v>554</v>
      </c>
      <c r="H574" s="9" t="s">
        <v>555</v>
      </c>
    </row>
    <row r="575" spans="1:8" ht="14.25">
      <c r="A575" s="9">
        <v>123</v>
      </c>
      <c r="B575" s="9" t="s">
        <v>83</v>
      </c>
      <c r="C575" s="36">
        <v>45848</v>
      </c>
      <c r="D575" s="36">
        <v>45852</v>
      </c>
      <c r="E575" s="9">
        <v>411</v>
      </c>
      <c r="F575" s="9">
        <v>527.37</v>
      </c>
      <c r="G575" s="9" t="s">
        <v>554</v>
      </c>
      <c r="H575" s="9" t="s">
        <v>555</v>
      </c>
    </row>
    <row r="576" spans="1:8" ht="14.25">
      <c r="A576" s="9">
        <v>123</v>
      </c>
      <c r="B576" s="9" t="s">
        <v>83</v>
      </c>
      <c r="C576" s="35">
        <v>45845</v>
      </c>
      <c r="D576" s="36">
        <v>45853</v>
      </c>
      <c r="E576" s="9">
        <v>386</v>
      </c>
      <c r="F576" s="9">
        <v>263.44</v>
      </c>
      <c r="G576" s="9" t="s">
        <v>554</v>
      </c>
      <c r="H576" s="9" t="s">
        <v>555</v>
      </c>
    </row>
    <row r="577" spans="1:8" ht="14.25">
      <c r="A577" s="9">
        <v>123</v>
      </c>
      <c r="B577" s="9" t="s">
        <v>83</v>
      </c>
      <c r="C577" s="35">
        <v>45843</v>
      </c>
      <c r="D577" s="36">
        <v>45944</v>
      </c>
      <c r="E577" s="9">
        <v>377</v>
      </c>
      <c r="F577" s="9">
        <v>526.59</v>
      </c>
      <c r="G577" s="9" t="s">
        <v>554</v>
      </c>
      <c r="H577" s="9" t="s">
        <v>555</v>
      </c>
    </row>
    <row r="578" spans="1:8" ht="14.25">
      <c r="A578" s="9">
        <v>123</v>
      </c>
      <c r="B578" s="9" t="s">
        <v>83</v>
      </c>
      <c r="C578" s="35">
        <v>45842</v>
      </c>
      <c r="D578" s="35">
        <v>45845</v>
      </c>
      <c r="E578" s="9">
        <v>371</v>
      </c>
      <c r="F578" s="9">
        <v>526.59</v>
      </c>
      <c r="G578" s="9" t="s">
        <v>554</v>
      </c>
      <c r="H578" s="9" t="s">
        <v>555</v>
      </c>
    </row>
    <row r="579" spans="1:8" ht="14.25">
      <c r="A579" s="9">
        <v>123</v>
      </c>
      <c r="B579" s="9" t="s">
        <v>83</v>
      </c>
      <c r="C579" s="35">
        <v>45842</v>
      </c>
      <c r="D579" s="36">
        <v>45848</v>
      </c>
      <c r="E579" s="9">
        <v>367</v>
      </c>
      <c r="F579" s="9">
        <v>922.83</v>
      </c>
      <c r="G579" s="9" t="s">
        <v>554</v>
      </c>
      <c r="H579" s="9" t="s">
        <v>555</v>
      </c>
    </row>
    <row r="580" spans="1:8" ht="14.25">
      <c r="A580" s="9">
        <v>123</v>
      </c>
      <c r="B580" s="9" t="s">
        <v>83</v>
      </c>
      <c r="C580" s="36">
        <v>45838</v>
      </c>
      <c r="D580" s="36">
        <v>45862</v>
      </c>
      <c r="E580" s="9">
        <v>302</v>
      </c>
      <c r="F580" s="9">
        <v>1052.8800000000001</v>
      </c>
      <c r="G580" s="9" t="s">
        <v>554</v>
      </c>
      <c r="H580" s="9" t="s">
        <v>555</v>
      </c>
    </row>
    <row r="581" spans="1:8" ht="14.25">
      <c r="A581" s="37" t="s">
        <v>398</v>
      </c>
      <c r="B581" s="38">
        <v>72</v>
      </c>
      <c r="C581" s="37"/>
      <c r="D581" s="37"/>
      <c r="E581" s="37"/>
      <c r="F581" s="38">
        <v>39169.61</v>
      </c>
      <c r="G581" s="37"/>
      <c r="H581" s="37"/>
    </row>
    <row r="582" spans="1:8" ht="14.25">
      <c r="A582" s="9">
        <v>45673</v>
      </c>
      <c r="B582" s="9" t="s">
        <v>81</v>
      </c>
      <c r="C582" s="35">
        <v>46058</v>
      </c>
      <c r="D582" s="35">
        <v>46181</v>
      </c>
      <c r="E582" s="9">
        <v>1400</v>
      </c>
      <c r="F582" s="9">
        <v>486.66</v>
      </c>
      <c r="G582" s="9" t="s">
        <v>554</v>
      </c>
      <c r="H582" s="9" t="s">
        <v>555</v>
      </c>
    </row>
    <row r="583" spans="1:8" ht="14.25">
      <c r="A583" s="9">
        <v>45673</v>
      </c>
      <c r="B583" s="9" t="s">
        <v>81</v>
      </c>
      <c r="C583" s="36">
        <v>46047</v>
      </c>
      <c r="D583" s="35">
        <v>46084</v>
      </c>
      <c r="E583" s="9">
        <v>1370</v>
      </c>
      <c r="F583" s="9">
        <v>233.3</v>
      </c>
      <c r="G583" s="9" t="s">
        <v>554</v>
      </c>
      <c r="H583" s="9" t="s">
        <v>555</v>
      </c>
    </row>
    <row r="584" spans="1:8" ht="14.25">
      <c r="A584" s="9">
        <v>45673</v>
      </c>
      <c r="B584" s="9" t="s">
        <v>81</v>
      </c>
      <c r="C584" s="35">
        <v>46029</v>
      </c>
      <c r="D584" s="36">
        <v>46033</v>
      </c>
      <c r="E584" s="9">
        <v>1280</v>
      </c>
      <c r="F584" s="9">
        <v>474.33</v>
      </c>
      <c r="G584" s="9" t="s">
        <v>554</v>
      </c>
      <c r="H584" s="9" t="s">
        <v>555</v>
      </c>
    </row>
    <row r="585" spans="1:8" ht="14.25">
      <c r="A585" s="9">
        <v>45673</v>
      </c>
      <c r="B585" s="9" t="s">
        <v>81</v>
      </c>
      <c r="C585" s="35">
        <v>46027</v>
      </c>
      <c r="D585" s="35">
        <v>46029</v>
      </c>
      <c r="E585" s="9">
        <v>1268</v>
      </c>
      <c r="F585" s="9">
        <v>493.65</v>
      </c>
      <c r="G585" s="9" t="s">
        <v>554</v>
      </c>
      <c r="H585" s="9" t="s">
        <v>555</v>
      </c>
    </row>
    <row r="586" spans="1:8" ht="14.25">
      <c r="A586" s="9">
        <v>45673</v>
      </c>
      <c r="B586" s="9" t="s">
        <v>81</v>
      </c>
      <c r="C586" s="36">
        <v>46010</v>
      </c>
      <c r="D586" s="36">
        <v>46011</v>
      </c>
      <c r="E586" s="9">
        <v>1193</v>
      </c>
      <c r="F586" s="9">
        <v>237.31</v>
      </c>
      <c r="G586" s="9" t="s">
        <v>554</v>
      </c>
      <c r="H586" s="9" t="s">
        <v>555</v>
      </c>
    </row>
    <row r="587" spans="1:8" ht="14.25">
      <c r="A587" s="9">
        <v>45673</v>
      </c>
      <c r="B587" s="9" t="s">
        <v>81</v>
      </c>
      <c r="C587" s="35">
        <v>45999</v>
      </c>
      <c r="D587" s="35">
        <v>46000</v>
      </c>
      <c r="E587" s="9">
        <v>1151</v>
      </c>
      <c r="F587" s="9">
        <v>237.31</v>
      </c>
      <c r="G587" s="9" t="s">
        <v>554</v>
      </c>
      <c r="H587" s="9" t="s">
        <v>555</v>
      </c>
    </row>
    <row r="588" spans="1:8" ht="14.25">
      <c r="A588" s="9">
        <v>45673</v>
      </c>
      <c r="B588" s="9" t="s">
        <v>81</v>
      </c>
      <c r="C588" s="36">
        <v>45958</v>
      </c>
      <c r="D588" s="35">
        <v>45964</v>
      </c>
      <c r="E588" s="9">
        <v>1015</v>
      </c>
      <c r="F588" s="9">
        <v>237.31</v>
      </c>
      <c r="G588" s="9" t="s">
        <v>554</v>
      </c>
      <c r="H588" s="9" t="s">
        <v>555</v>
      </c>
    </row>
    <row r="589" spans="1:8" ht="14.25">
      <c r="A589" s="9">
        <v>123</v>
      </c>
      <c r="B589" s="9" t="s">
        <v>81</v>
      </c>
      <c r="C589" s="36">
        <v>45888</v>
      </c>
      <c r="D589" s="36">
        <v>45894</v>
      </c>
      <c r="E589" s="9">
        <v>653</v>
      </c>
      <c r="F589" s="9">
        <v>711.34</v>
      </c>
      <c r="G589" s="9" t="s">
        <v>554</v>
      </c>
      <c r="H589" s="9" t="s">
        <v>555</v>
      </c>
    </row>
    <row r="590" spans="1:8" ht="14.25">
      <c r="A590" s="9">
        <v>123</v>
      </c>
      <c r="B590" s="9" t="s">
        <v>81</v>
      </c>
      <c r="C590" s="36">
        <v>45888</v>
      </c>
      <c r="D590" s="35">
        <v>45908</v>
      </c>
      <c r="E590" s="9">
        <v>649</v>
      </c>
      <c r="F590" s="9">
        <v>1659.4</v>
      </c>
      <c r="G590" s="9" t="s">
        <v>554</v>
      </c>
      <c r="H590" s="9" t="s">
        <v>555</v>
      </c>
    </row>
    <row r="591" spans="1:8" ht="14.25">
      <c r="A591" s="9">
        <v>123</v>
      </c>
      <c r="B591" s="9" t="s">
        <v>81</v>
      </c>
      <c r="C591" s="36">
        <v>45880</v>
      </c>
      <c r="D591" s="36">
        <v>45978</v>
      </c>
      <c r="E591" s="9">
        <v>600</v>
      </c>
      <c r="F591" s="9">
        <v>474.33</v>
      </c>
      <c r="G591" s="9" t="s">
        <v>554</v>
      </c>
      <c r="H591" s="9" t="s">
        <v>555</v>
      </c>
    </row>
    <row r="592" spans="1:8" ht="14.25">
      <c r="A592" s="9">
        <v>123</v>
      </c>
      <c r="B592" s="9" t="s">
        <v>81</v>
      </c>
      <c r="C592" s="36">
        <v>45862</v>
      </c>
      <c r="D592" s="36">
        <v>45864</v>
      </c>
      <c r="E592" s="9">
        <v>495</v>
      </c>
      <c r="F592" s="9">
        <v>474.33</v>
      </c>
      <c r="G592" s="9" t="s">
        <v>554</v>
      </c>
      <c r="H592" s="9" t="s">
        <v>555</v>
      </c>
    </row>
    <row r="593" spans="1:8" ht="14.25">
      <c r="A593" s="9">
        <v>123</v>
      </c>
      <c r="B593" s="9" t="s">
        <v>81</v>
      </c>
      <c r="C593" s="35">
        <v>45841</v>
      </c>
      <c r="D593" s="35">
        <v>45844</v>
      </c>
      <c r="E593" s="9">
        <v>358</v>
      </c>
      <c r="F593" s="9">
        <v>663.75</v>
      </c>
      <c r="G593" s="9" t="s">
        <v>554</v>
      </c>
      <c r="H593" s="9" t="s">
        <v>555</v>
      </c>
    </row>
    <row r="594" spans="1:8" ht="14.25">
      <c r="A594" s="9">
        <v>123</v>
      </c>
      <c r="B594" s="9" t="s">
        <v>81</v>
      </c>
      <c r="C594" s="35">
        <v>45840</v>
      </c>
      <c r="D594" s="35">
        <v>45841</v>
      </c>
      <c r="E594" s="9">
        <v>321</v>
      </c>
      <c r="F594" s="9">
        <v>930.96</v>
      </c>
      <c r="G594" s="9" t="s">
        <v>554</v>
      </c>
      <c r="H594" s="9" t="s">
        <v>555</v>
      </c>
    </row>
    <row r="595" spans="1:8" ht="14.25">
      <c r="A595" s="37" t="s">
        <v>398</v>
      </c>
      <c r="B595" s="38">
        <v>13</v>
      </c>
      <c r="C595" s="37"/>
      <c r="D595" s="37"/>
      <c r="E595" s="37"/>
      <c r="F595" s="38">
        <v>7313.98</v>
      </c>
      <c r="G595" s="37"/>
      <c r="H595" s="37"/>
    </row>
    <row r="596" spans="1:8" ht="14.25">
      <c r="A596" s="9">
        <v>45673</v>
      </c>
      <c r="B596" s="9" t="s">
        <v>85</v>
      </c>
      <c r="C596" s="35">
        <v>46028</v>
      </c>
      <c r="D596" s="41">
        <v>46153</v>
      </c>
      <c r="E596" s="9">
        <v>1275</v>
      </c>
      <c r="F596" s="9">
        <v>268.36</v>
      </c>
      <c r="G596" s="9" t="s">
        <v>554</v>
      </c>
      <c r="H596" s="9" t="s">
        <v>555</v>
      </c>
    </row>
    <row r="597" spans="1:8" ht="14.25">
      <c r="A597" s="9">
        <v>45673</v>
      </c>
      <c r="B597" s="9" t="s">
        <v>85</v>
      </c>
      <c r="C597" s="36">
        <v>46017</v>
      </c>
      <c r="D597" s="36">
        <v>46018</v>
      </c>
      <c r="E597" s="9">
        <v>1213</v>
      </c>
      <c r="F597" s="9">
        <v>528.15</v>
      </c>
      <c r="G597" s="9" t="s">
        <v>554</v>
      </c>
      <c r="H597" s="9" t="s">
        <v>555</v>
      </c>
    </row>
    <row r="598" spans="1:8" ht="14.25">
      <c r="A598" s="9">
        <v>45673</v>
      </c>
      <c r="B598" s="9" t="s">
        <v>85</v>
      </c>
      <c r="C598" s="36">
        <v>46009</v>
      </c>
      <c r="D598" s="36">
        <v>46015</v>
      </c>
      <c r="E598" s="9">
        <v>1190</v>
      </c>
      <c r="F598" s="9">
        <v>264.22000000000003</v>
      </c>
      <c r="G598" s="9" t="s">
        <v>554</v>
      </c>
      <c r="H598" s="9" t="s">
        <v>555</v>
      </c>
    </row>
    <row r="599" spans="1:8" ht="14.25">
      <c r="A599" s="9">
        <v>45673</v>
      </c>
      <c r="B599" s="9" t="s">
        <v>85</v>
      </c>
      <c r="C599" s="36">
        <v>46008</v>
      </c>
      <c r="D599" s="36">
        <v>46015</v>
      </c>
      <c r="E599" s="9">
        <v>1187</v>
      </c>
      <c r="F599" s="9">
        <v>264.22000000000003</v>
      </c>
      <c r="G599" s="9" t="s">
        <v>554</v>
      </c>
      <c r="H599" s="9" t="s">
        <v>555</v>
      </c>
    </row>
    <row r="600" spans="1:8" ht="14.25">
      <c r="A600" s="9">
        <v>45673</v>
      </c>
      <c r="B600" s="9" t="s">
        <v>85</v>
      </c>
      <c r="C600" s="36">
        <v>46008</v>
      </c>
      <c r="D600" s="35">
        <v>46024</v>
      </c>
      <c r="E600" s="9">
        <v>1185</v>
      </c>
      <c r="F600" s="9">
        <v>264.22000000000003</v>
      </c>
      <c r="G600" s="9" t="s">
        <v>554</v>
      </c>
      <c r="H600" s="9" t="s">
        <v>555</v>
      </c>
    </row>
    <row r="601" spans="1:8" ht="14.25">
      <c r="A601" s="9">
        <v>45673</v>
      </c>
      <c r="B601" s="9" t="s">
        <v>85</v>
      </c>
      <c r="C601" s="35">
        <v>45995</v>
      </c>
      <c r="D601" s="36">
        <v>46277</v>
      </c>
      <c r="E601" s="9">
        <v>1132</v>
      </c>
      <c r="F601" s="9">
        <v>268.36</v>
      </c>
      <c r="G601" s="9" t="s">
        <v>554</v>
      </c>
      <c r="H601" s="9" t="s">
        <v>555</v>
      </c>
    </row>
    <row r="602" spans="1:8" ht="14.25">
      <c r="A602" s="9">
        <v>45673</v>
      </c>
      <c r="B602" s="9" t="s">
        <v>85</v>
      </c>
      <c r="C602" s="35">
        <v>45993</v>
      </c>
      <c r="D602" s="36">
        <v>46034</v>
      </c>
      <c r="E602" s="9">
        <v>1127</v>
      </c>
      <c r="F602" s="9">
        <v>264.22000000000003</v>
      </c>
      <c r="G602" s="9" t="s">
        <v>554</v>
      </c>
      <c r="H602" s="9" t="s">
        <v>555</v>
      </c>
    </row>
    <row r="603" spans="1:8" ht="14.25">
      <c r="A603" s="9">
        <v>45673</v>
      </c>
      <c r="B603" s="9" t="s">
        <v>85</v>
      </c>
      <c r="C603" s="36">
        <v>45982</v>
      </c>
      <c r="D603" s="36">
        <v>46103</v>
      </c>
      <c r="E603" s="9">
        <v>1088</v>
      </c>
      <c r="F603" s="9">
        <v>859.35</v>
      </c>
      <c r="G603" s="9" t="s">
        <v>554</v>
      </c>
      <c r="H603" s="9" t="s">
        <v>555</v>
      </c>
    </row>
    <row r="604" spans="1:8" ht="14.25">
      <c r="A604" s="9">
        <v>45673</v>
      </c>
      <c r="B604" s="9" t="s">
        <v>85</v>
      </c>
      <c r="C604" s="36">
        <v>45979</v>
      </c>
      <c r="D604" s="36">
        <v>45980</v>
      </c>
      <c r="E604" s="9">
        <v>1071</v>
      </c>
      <c r="F604" s="9">
        <v>264.22000000000003</v>
      </c>
      <c r="G604" s="9" t="s">
        <v>554</v>
      </c>
      <c r="H604" s="9" t="s">
        <v>555</v>
      </c>
    </row>
    <row r="605" spans="1:8" ht="14.25">
      <c r="A605" s="9">
        <v>45673</v>
      </c>
      <c r="B605" s="9" t="s">
        <v>85</v>
      </c>
      <c r="C605" s="36">
        <v>45971</v>
      </c>
      <c r="D605" s="35">
        <v>45992</v>
      </c>
      <c r="E605" s="9">
        <v>1052</v>
      </c>
      <c r="F605" s="9">
        <v>528.15</v>
      </c>
      <c r="G605" s="9" t="s">
        <v>554</v>
      </c>
      <c r="H605" s="9" t="s">
        <v>555</v>
      </c>
    </row>
    <row r="606" spans="1:8" ht="14.25">
      <c r="A606" s="9">
        <v>45673</v>
      </c>
      <c r="B606" s="9" t="s">
        <v>85</v>
      </c>
      <c r="C606" s="36">
        <v>45960</v>
      </c>
      <c r="D606" s="35">
        <v>45962</v>
      </c>
      <c r="E606" s="9">
        <v>1019</v>
      </c>
      <c r="F606" s="9">
        <v>528.15</v>
      </c>
      <c r="G606" s="9" t="s">
        <v>554</v>
      </c>
      <c r="H606" s="9" t="s">
        <v>555</v>
      </c>
    </row>
    <row r="607" spans="1:8" ht="14.25">
      <c r="A607" s="9">
        <v>45673</v>
      </c>
      <c r="B607" s="9" t="s">
        <v>85</v>
      </c>
      <c r="C607" s="36">
        <v>45948</v>
      </c>
      <c r="D607" s="36">
        <v>45949</v>
      </c>
      <c r="E607" s="9">
        <v>964</v>
      </c>
      <c r="F607" s="9">
        <v>264.22000000000003</v>
      </c>
      <c r="G607" s="9" t="s">
        <v>554</v>
      </c>
      <c r="H607" s="9" t="s">
        <v>555</v>
      </c>
    </row>
    <row r="608" spans="1:8" ht="14.25">
      <c r="A608" s="9">
        <v>45673</v>
      </c>
      <c r="B608" s="9" t="s">
        <v>85</v>
      </c>
      <c r="C608" s="36">
        <v>45947</v>
      </c>
      <c r="D608" s="36">
        <v>45949</v>
      </c>
      <c r="E608" s="9">
        <v>955</v>
      </c>
      <c r="F608" s="9">
        <v>528.15</v>
      </c>
      <c r="G608" s="9" t="s">
        <v>554</v>
      </c>
      <c r="H608" s="9" t="s">
        <v>555</v>
      </c>
    </row>
    <row r="609" spans="1:8" ht="14.25">
      <c r="A609" s="9">
        <v>45673</v>
      </c>
      <c r="B609" s="9" t="s">
        <v>85</v>
      </c>
      <c r="C609" s="36">
        <v>45947</v>
      </c>
      <c r="D609" s="36">
        <v>45949</v>
      </c>
      <c r="E609" s="9">
        <v>952</v>
      </c>
      <c r="F609" s="9">
        <v>264.22000000000003</v>
      </c>
      <c r="G609" s="9" t="s">
        <v>554</v>
      </c>
      <c r="H609" s="9" t="s">
        <v>555</v>
      </c>
    </row>
    <row r="610" spans="1:8" ht="14.25">
      <c r="A610" s="9">
        <v>45673</v>
      </c>
      <c r="B610" s="9" t="s">
        <v>85</v>
      </c>
      <c r="C610" s="35">
        <v>45939</v>
      </c>
      <c r="D610" s="36">
        <v>45957</v>
      </c>
      <c r="E610" s="9">
        <v>912</v>
      </c>
      <c r="F610" s="9">
        <v>519.22</v>
      </c>
      <c r="G610" s="9" t="s">
        <v>554</v>
      </c>
      <c r="H610" s="9" t="s">
        <v>555</v>
      </c>
    </row>
    <row r="611" spans="1:8" ht="14.25">
      <c r="A611" s="9">
        <v>45673</v>
      </c>
      <c r="B611" s="9" t="s">
        <v>85</v>
      </c>
      <c r="C611" s="35">
        <v>45934</v>
      </c>
      <c r="D611" s="35">
        <v>45935</v>
      </c>
      <c r="E611" s="9">
        <v>885</v>
      </c>
      <c r="F611" s="9">
        <v>264.22000000000003</v>
      </c>
      <c r="G611" s="9" t="s">
        <v>554</v>
      </c>
      <c r="H611" s="9" t="s">
        <v>555</v>
      </c>
    </row>
    <row r="612" spans="1:8" ht="14.25">
      <c r="A612" s="9">
        <v>45673</v>
      </c>
      <c r="B612" s="9" t="s">
        <v>85</v>
      </c>
      <c r="C612" s="35">
        <v>45931</v>
      </c>
      <c r="D612" s="36">
        <v>45961</v>
      </c>
      <c r="E612" s="9">
        <v>875</v>
      </c>
      <c r="F612" s="9">
        <v>528.15</v>
      </c>
      <c r="G612" s="9" t="s">
        <v>554</v>
      </c>
      <c r="H612" s="9" t="s">
        <v>555</v>
      </c>
    </row>
    <row r="613" spans="1:8" ht="14.25">
      <c r="A613" s="9">
        <v>45673</v>
      </c>
      <c r="B613" s="9" t="s">
        <v>85</v>
      </c>
      <c r="C613" s="35">
        <v>45909</v>
      </c>
      <c r="D613" s="36">
        <v>45971</v>
      </c>
      <c r="E613" s="9">
        <v>773</v>
      </c>
      <c r="F613" s="9">
        <v>1557.07</v>
      </c>
      <c r="G613" s="9" t="s">
        <v>554</v>
      </c>
      <c r="H613" s="9" t="s">
        <v>555</v>
      </c>
    </row>
    <row r="614" spans="1:8" ht="14.25">
      <c r="A614" s="9">
        <v>123</v>
      </c>
      <c r="B614" s="9" t="s">
        <v>85</v>
      </c>
      <c r="C614" s="35">
        <v>45877</v>
      </c>
      <c r="D614" s="36">
        <v>45896</v>
      </c>
      <c r="E614" s="9">
        <v>586</v>
      </c>
      <c r="F614" s="9">
        <v>528.15</v>
      </c>
      <c r="G614" s="9" t="s">
        <v>554</v>
      </c>
      <c r="H614" s="9" t="s">
        <v>555</v>
      </c>
    </row>
    <row r="615" spans="1:8" ht="14.25">
      <c r="A615" s="9">
        <v>123</v>
      </c>
      <c r="B615" s="9" t="s">
        <v>85</v>
      </c>
      <c r="C615" s="36">
        <v>45867</v>
      </c>
      <c r="D615" s="36">
        <v>45896</v>
      </c>
      <c r="E615" s="9">
        <v>521</v>
      </c>
      <c r="F615" s="9">
        <v>264.22000000000003</v>
      </c>
      <c r="G615" s="9" t="s">
        <v>554</v>
      </c>
      <c r="H615" s="9" t="s">
        <v>555</v>
      </c>
    </row>
    <row r="616" spans="1:8" ht="14.25">
      <c r="A616" s="9">
        <v>123</v>
      </c>
      <c r="B616" s="9" t="s">
        <v>85</v>
      </c>
      <c r="C616" s="36">
        <v>45866</v>
      </c>
      <c r="D616" s="36">
        <v>45896</v>
      </c>
      <c r="E616" s="9">
        <v>513</v>
      </c>
      <c r="F616" s="9">
        <v>264.22000000000003</v>
      </c>
      <c r="G616" s="9" t="s">
        <v>554</v>
      </c>
      <c r="H616" s="9" t="s">
        <v>555</v>
      </c>
    </row>
    <row r="617" spans="1:8" ht="14.25">
      <c r="A617" s="9">
        <v>123</v>
      </c>
      <c r="B617" s="9" t="s">
        <v>85</v>
      </c>
      <c r="C617" s="36">
        <v>45863</v>
      </c>
      <c r="D617" s="36">
        <v>45896</v>
      </c>
      <c r="E617" s="9">
        <v>499</v>
      </c>
      <c r="F617" s="9">
        <v>264.22000000000003</v>
      </c>
      <c r="G617" s="9" t="s">
        <v>554</v>
      </c>
      <c r="H617" s="9" t="s">
        <v>555</v>
      </c>
    </row>
    <row r="618" spans="1:8" ht="14.25">
      <c r="A618" s="37" t="s">
        <v>398</v>
      </c>
      <c r="B618" s="38">
        <v>22</v>
      </c>
      <c r="C618" s="37"/>
      <c r="D618" s="37"/>
      <c r="E618" s="37"/>
      <c r="F618" s="38">
        <v>9547.68</v>
      </c>
      <c r="G618" s="37"/>
      <c r="H618" s="37"/>
    </row>
    <row r="619" spans="1:8" ht="14.25">
      <c r="A619" s="9">
        <v>45673</v>
      </c>
      <c r="B619" s="9" t="s">
        <v>79</v>
      </c>
      <c r="C619" s="36">
        <v>45943</v>
      </c>
      <c r="D619" s="36">
        <v>45952</v>
      </c>
      <c r="E619" s="9">
        <v>927</v>
      </c>
      <c r="F619" s="9">
        <v>804.12</v>
      </c>
      <c r="G619" s="9" t="s">
        <v>554</v>
      </c>
      <c r="H619" s="9" t="s">
        <v>555</v>
      </c>
    </row>
    <row r="620" spans="1:8" ht="14.25">
      <c r="A620" s="9">
        <v>123</v>
      </c>
      <c r="B620" s="9" t="s">
        <v>79</v>
      </c>
      <c r="C620" s="35">
        <v>45872</v>
      </c>
      <c r="D620" s="36">
        <v>45896</v>
      </c>
      <c r="E620" s="9">
        <v>544</v>
      </c>
      <c r="F620" s="9">
        <v>914.01</v>
      </c>
      <c r="G620" s="9" t="s">
        <v>554</v>
      </c>
      <c r="H620" s="9" t="s">
        <v>555</v>
      </c>
    </row>
    <row r="621" spans="1:8" ht="14.25">
      <c r="A621" s="9">
        <v>123</v>
      </c>
      <c r="B621" s="9" t="s">
        <v>79</v>
      </c>
      <c r="C621" s="36">
        <v>45862</v>
      </c>
      <c r="D621" s="36">
        <v>45882</v>
      </c>
      <c r="E621" s="9">
        <v>489</v>
      </c>
      <c r="F621" s="9">
        <v>402.21</v>
      </c>
      <c r="G621" s="9" t="s">
        <v>554</v>
      </c>
      <c r="H621" s="9" t="s">
        <v>555</v>
      </c>
    </row>
    <row r="622" spans="1:8" ht="14.25">
      <c r="A622" s="9">
        <v>123</v>
      </c>
      <c r="B622" s="9" t="s">
        <v>79</v>
      </c>
      <c r="C622" s="35">
        <v>45843</v>
      </c>
      <c r="D622" s="35">
        <v>45903</v>
      </c>
      <c r="E622" s="9">
        <v>374</v>
      </c>
      <c r="F622" s="9">
        <v>802.94</v>
      </c>
      <c r="G622" s="9" t="s">
        <v>554</v>
      </c>
      <c r="H622" s="9" t="s">
        <v>555</v>
      </c>
    </row>
    <row r="623" spans="1:8" ht="14.25">
      <c r="A623" s="9">
        <v>123</v>
      </c>
      <c r="B623" s="9" t="s">
        <v>79</v>
      </c>
      <c r="C623" s="35">
        <v>45839</v>
      </c>
      <c r="D623" s="35">
        <v>45903</v>
      </c>
      <c r="E623" s="9">
        <v>316</v>
      </c>
      <c r="F623" s="9">
        <v>401.62</v>
      </c>
      <c r="G623" s="9" t="s">
        <v>554</v>
      </c>
      <c r="H623" s="9" t="s">
        <v>555</v>
      </c>
    </row>
    <row r="624" spans="1:8" ht="14.25">
      <c r="A624" s="9">
        <v>123</v>
      </c>
      <c r="B624" s="9" t="s">
        <v>79</v>
      </c>
      <c r="C624" s="35">
        <v>45839</v>
      </c>
      <c r="D624" s="36">
        <v>45868</v>
      </c>
      <c r="E624" s="9">
        <v>311</v>
      </c>
      <c r="F624" s="9">
        <v>802.94</v>
      </c>
      <c r="G624" s="9" t="s">
        <v>554</v>
      </c>
      <c r="H624" s="9" t="s">
        <v>555</v>
      </c>
    </row>
    <row r="625" spans="1:8" ht="14.25">
      <c r="A625" s="9">
        <v>123</v>
      </c>
      <c r="B625" s="9" t="s">
        <v>79</v>
      </c>
      <c r="C625" s="36">
        <v>45837</v>
      </c>
      <c r="D625" s="36">
        <v>45952</v>
      </c>
      <c r="E625" s="9">
        <v>289</v>
      </c>
      <c r="F625" s="9">
        <v>401.62</v>
      </c>
      <c r="G625" s="9" t="s">
        <v>554</v>
      </c>
      <c r="H625" s="9" t="s">
        <v>555</v>
      </c>
    </row>
    <row r="626" spans="1:8" ht="14.25">
      <c r="A626" s="9">
        <v>123</v>
      </c>
      <c r="B626" s="9" t="s">
        <v>79</v>
      </c>
      <c r="C626" s="36">
        <v>45834</v>
      </c>
      <c r="D626" s="36">
        <v>45924</v>
      </c>
      <c r="E626" s="9">
        <v>276</v>
      </c>
      <c r="F626" s="9">
        <v>401.62</v>
      </c>
      <c r="G626" s="9" t="s">
        <v>554</v>
      </c>
      <c r="H626" s="9" t="s">
        <v>555</v>
      </c>
    </row>
    <row r="627" spans="1:8" ht="14.25">
      <c r="A627" s="37" t="s">
        <v>398</v>
      </c>
      <c r="B627" s="38">
        <v>8</v>
      </c>
      <c r="C627" s="37"/>
      <c r="D627" s="37"/>
      <c r="E627" s="37"/>
      <c r="F627" s="38">
        <v>4931.08</v>
      </c>
      <c r="G627" s="37"/>
      <c r="H627" s="37"/>
    </row>
    <row r="628" spans="1:8" ht="14.25">
      <c r="A628" s="9">
        <v>45673</v>
      </c>
      <c r="B628" s="9" t="s">
        <v>78</v>
      </c>
      <c r="C628" s="36">
        <v>46013</v>
      </c>
      <c r="D628" s="36">
        <v>46039</v>
      </c>
      <c r="E628" s="9">
        <v>1201</v>
      </c>
      <c r="F628" s="9">
        <v>474.33</v>
      </c>
      <c r="G628" s="9" t="s">
        <v>554</v>
      </c>
      <c r="H628" s="9" t="s">
        <v>555</v>
      </c>
    </row>
    <row r="629" spans="1:8" ht="14.25">
      <c r="A629" s="9">
        <v>45673</v>
      </c>
      <c r="B629" s="9" t="s">
        <v>78</v>
      </c>
      <c r="C629" s="35">
        <v>45970</v>
      </c>
      <c r="D629" s="36">
        <v>46013</v>
      </c>
      <c r="E629" s="9">
        <v>1051</v>
      </c>
      <c r="F629" s="9">
        <v>699.32</v>
      </c>
      <c r="G629" s="9" t="s">
        <v>554</v>
      </c>
      <c r="H629" s="9" t="s">
        <v>555</v>
      </c>
    </row>
    <row r="630" spans="1:8" ht="14.25">
      <c r="A630" s="9">
        <v>45673</v>
      </c>
      <c r="B630" s="9" t="s">
        <v>78</v>
      </c>
      <c r="C630" s="35">
        <v>45968</v>
      </c>
      <c r="D630" s="35">
        <v>46024</v>
      </c>
      <c r="E630" s="9">
        <v>1046</v>
      </c>
      <c r="F630" s="9">
        <v>233.3</v>
      </c>
      <c r="G630" s="9" t="s">
        <v>554</v>
      </c>
      <c r="H630" s="9" t="s">
        <v>555</v>
      </c>
    </row>
    <row r="631" spans="1:8" ht="14.25">
      <c r="A631" s="9">
        <v>45673</v>
      </c>
      <c r="B631" s="9" t="s">
        <v>76</v>
      </c>
      <c r="C631" s="36">
        <v>45928</v>
      </c>
      <c r="D631" s="35">
        <v>45931</v>
      </c>
      <c r="E631" s="9">
        <v>854</v>
      </c>
      <c r="F631" s="9">
        <v>143.13</v>
      </c>
      <c r="G631" s="9" t="s">
        <v>554</v>
      </c>
      <c r="H631" s="9" t="s">
        <v>555</v>
      </c>
    </row>
    <row r="632" spans="1:8" ht="14.25">
      <c r="A632" s="9">
        <v>45673</v>
      </c>
      <c r="B632" s="9" t="s">
        <v>76</v>
      </c>
      <c r="C632" s="36">
        <v>45893</v>
      </c>
      <c r="D632" s="36">
        <v>45893</v>
      </c>
      <c r="E632" s="9">
        <v>679</v>
      </c>
      <c r="F632" s="9">
        <v>70.5</v>
      </c>
      <c r="G632" s="9" t="s">
        <v>554</v>
      </c>
      <c r="H632" s="9" t="s">
        <v>555</v>
      </c>
    </row>
    <row r="633" spans="1:8" ht="14.25">
      <c r="A633" s="9">
        <v>45673</v>
      </c>
      <c r="B633" s="9" t="s">
        <v>71</v>
      </c>
      <c r="C633" s="35">
        <v>46056</v>
      </c>
      <c r="D633" s="35">
        <v>46059</v>
      </c>
      <c r="E633" s="9">
        <v>1391</v>
      </c>
      <c r="F633" s="9">
        <v>80.680000000000007</v>
      </c>
      <c r="G633" s="9" t="s">
        <v>554</v>
      </c>
      <c r="H633" s="9" t="s">
        <v>555</v>
      </c>
    </row>
    <row r="634" spans="1:8" ht="14.25">
      <c r="A634" s="9">
        <v>123</v>
      </c>
      <c r="B634" s="9" t="s">
        <v>71</v>
      </c>
      <c r="C634" s="36">
        <v>45882</v>
      </c>
      <c r="D634" s="36">
        <v>45883</v>
      </c>
      <c r="E634" s="9">
        <v>612</v>
      </c>
      <c r="F634" s="9">
        <v>163.83000000000001</v>
      </c>
      <c r="G634" s="9" t="s">
        <v>554</v>
      </c>
      <c r="H634" s="9" t="s">
        <v>555</v>
      </c>
    </row>
    <row r="635" spans="1:8" ht="14.25">
      <c r="A635" s="37" t="s">
        <v>398</v>
      </c>
      <c r="B635" s="38">
        <v>7</v>
      </c>
      <c r="C635" s="37"/>
      <c r="D635" s="37"/>
      <c r="E635" s="37"/>
      <c r="F635" s="38">
        <v>1865.09</v>
      </c>
      <c r="G635" s="37"/>
      <c r="H635" s="37"/>
    </row>
    <row r="636" spans="1:8" ht="14.25">
      <c r="A636" s="9">
        <v>45673</v>
      </c>
      <c r="B636" s="9" t="s">
        <v>413</v>
      </c>
      <c r="C636" s="36">
        <v>46050</v>
      </c>
      <c r="D636" s="36">
        <v>46067</v>
      </c>
      <c r="E636" s="9">
        <v>1379</v>
      </c>
      <c r="F636" s="9">
        <v>474.33</v>
      </c>
      <c r="G636" s="9" t="s">
        <v>554</v>
      </c>
      <c r="H636" s="9" t="s">
        <v>555</v>
      </c>
    </row>
    <row r="637" spans="1:8" ht="14.25">
      <c r="A637" s="9">
        <v>45673</v>
      </c>
      <c r="B637" s="9" t="s">
        <v>413</v>
      </c>
      <c r="C637" s="36">
        <v>46046</v>
      </c>
      <c r="D637" s="35">
        <v>46119</v>
      </c>
      <c r="E637" s="9">
        <v>1367</v>
      </c>
      <c r="F637" s="9">
        <v>497.1</v>
      </c>
      <c r="G637" s="9" t="s">
        <v>554</v>
      </c>
      <c r="H637" s="9" t="s">
        <v>555</v>
      </c>
    </row>
    <row r="638" spans="1:8" ht="14.25">
      <c r="A638" s="9">
        <v>45673</v>
      </c>
      <c r="B638" s="9" t="s">
        <v>413</v>
      </c>
      <c r="C638" s="36">
        <v>46040</v>
      </c>
      <c r="D638" s="35">
        <v>46056</v>
      </c>
      <c r="E638" s="9">
        <v>1334</v>
      </c>
      <c r="F638" s="9">
        <v>711.34</v>
      </c>
      <c r="G638" s="9" t="s">
        <v>554</v>
      </c>
      <c r="H638" s="9" t="s">
        <v>555</v>
      </c>
    </row>
    <row r="639" spans="1:8" ht="14.25">
      <c r="A639" s="9">
        <v>45673</v>
      </c>
      <c r="B639" s="9" t="s">
        <v>413</v>
      </c>
      <c r="C639" s="36">
        <v>46036</v>
      </c>
      <c r="D639" s="36">
        <v>46047</v>
      </c>
      <c r="E639" s="9">
        <v>1307</v>
      </c>
      <c r="F639" s="9">
        <v>586.38</v>
      </c>
      <c r="G639" s="9" t="s">
        <v>554</v>
      </c>
      <c r="H639" s="9" t="s">
        <v>555</v>
      </c>
    </row>
    <row r="640" spans="1:8" ht="14.25">
      <c r="A640" s="9">
        <v>45673</v>
      </c>
      <c r="B640" s="9" t="s">
        <v>413</v>
      </c>
      <c r="C640" s="36">
        <v>46035</v>
      </c>
      <c r="D640" s="35">
        <v>46054</v>
      </c>
      <c r="E640" s="9">
        <v>1301</v>
      </c>
      <c r="F640" s="9">
        <v>903.85</v>
      </c>
      <c r="G640" s="9" t="s">
        <v>554</v>
      </c>
      <c r="H640" s="9" t="s">
        <v>555</v>
      </c>
    </row>
    <row r="641" spans="1:8" ht="14.25">
      <c r="A641" s="9">
        <v>45673</v>
      </c>
      <c r="B641" s="9" t="s">
        <v>413</v>
      </c>
      <c r="C641" s="35">
        <v>45992</v>
      </c>
      <c r="D641" s="36">
        <v>46008</v>
      </c>
      <c r="E641" s="9">
        <v>1123</v>
      </c>
      <c r="F641" s="9">
        <v>1422.39</v>
      </c>
      <c r="G641" s="9" t="s">
        <v>554</v>
      </c>
      <c r="H641" s="9" t="s">
        <v>555</v>
      </c>
    </row>
    <row r="642" spans="1:8" ht="14.25">
      <c r="A642" s="9">
        <v>45673</v>
      </c>
      <c r="B642" s="9" t="s">
        <v>413</v>
      </c>
      <c r="C642" s="36">
        <v>45956</v>
      </c>
      <c r="D642" s="36">
        <v>46021</v>
      </c>
      <c r="E642" s="9">
        <v>1008</v>
      </c>
      <c r="F642" s="9">
        <v>1070.49</v>
      </c>
      <c r="G642" s="9" t="s">
        <v>554</v>
      </c>
      <c r="H642" s="9" t="s">
        <v>555</v>
      </c>
    </row>
    <row r="643" spans="1:8" ht="14.25">
      <c r="A643" s="9">
        <v>123</v>
      </c>
      <c r="B643" s="9" t="s">
        <v>413</v>
      </c>
      <c r="C643" s="35">
        <v>45841</v>
      </c>
      <c r="D643" s="9"/>
      <c r="E643" s="9">
        <v>366</v>
      </c>
      <c r="F643" s="9">
        <v>590.6</v>
      </c>
      <c r="G643" s="9" t="s">
        <v>554</v>
      </c>
      <c r="H643" s="9" t="s">
        <v>555</v>
      </c>
    </row>
    <row r="644" spans="1:8" ht="14.25">
      <c r="A644" s="37" t="s">
        <v>398</v>
      </c>
      <c r="B644" s="38">
        <v>8</v>
      </c>
      <c r="C644" s="37"/>
      <c r="D644" s="37"/>
      <c r="E644" s="37"/>
      <c r="F644" s="38">
        <v>6256.48</v>
      </c>
      <c r="G644" s="37"/>
      <c r="H644" s="37"/>
    </row>
    <row r="645" spans="1:8" ht="14.25">
      <c r="A645" s="9">
        <v>123</v>
      </c>
      <c r="B645" s="9" t="s">
        <v>537</v>
      </c>
      <c r="C645" s="36">
        <v>45856</v>
      </c>
      <c r="D645" s="36">
        <v>45857</v>
      </c>
      <c r="E645" s="9">
        <v>456</v>
      </c>
      <c r="F645" s="9">
        <v>157.62</v>
      </c>
      <c r="G645" s="9" t="s">
        <v>554</v>
      </c>
      <c r="H645" s="9" t="s">
        <v>555</v>
      </c>
    </row>
    <row r="646" spans="1:8" ht="14.25">
      <c r="A646" s="9">
        <v>123</v>
      </c>
      <c r="B646" s="9" t="s">
        <v>537</v>
      </c>
      <c r="C646" s="36">
        <v>45856</v>
      </c>
      <c r="D646" s="36">
        <v>45857</v>
      </c>
      <c r="E646" s="9">
        <v>455</v>
      </c>
      <c r="F646" s="9">
        <v>309.62</v>
      </c>
      <c r="G646" s="9" t="s">
        <v>554</v>
      </c>
      <c r="H646" s="9" t="s">
        <v>555</v>
      </c>
    </row>
    <row r="647" spans="1:8" ht="14.25">
      <c r="A647" s="9">
        <v>45673</v>
      </c>
      <c r="B647" s="9" t="s">
        <v>538</v>
      </c>
      <c r="C647" s="36">
        <v>46019</v>
      </c>
      <c r="D647" s="36">
        <v>46020</v>
      </c>
      <c r="E647" s="9">
        <v>1221</v>
      </c>
      <c r="F647" s="9">
        <v>773.6</v>
      </c>
      <c r="G647" s="9" t="s">
        <v>554</v>
      </c>
      <c r="H647" s="9" t="s">
        <v>555</v>
      </c>
    </row>
    <row r="648" spans="1:8" ht="14.25">
      <c r="A648" s="9">
        <v>45673</v>
      </c>
      <c r="B648" s="9" t="s">
        <v>538</v>
      </c>
      <c r="C648" s="35">
        <v>45903</v>
      </c>
      <c r="D648" s="36">
        <v>45910</v>
      </c>
      <c r="E648" s="9">
        <v>741</v>
      </c>
      <c r="F648" s="9">
        <v>309.62</v>
      </c>
      <c r="G648" s="9" t="s">
        <v>554</v>
      </c>
      <c r="H648" s="9" t="s">
        <v>555</v>
      </c>
    </row>
    <row r="649" spans="1:8" ht="14.25">
      <c r="A649" s="9">
        <v>45673</v>
      </c>
      <c r="B649" s="9" t="s">
        <v>539</v>
      </c>
      <c r="C649" s="36">
        <v>45929</v>
      </c>
      <c r="D649" s="35">
        <v>45931</v>
      </c>
      <c r="E649" s="9">
        <v>858</v>
      </c>
      <c r="F649" s="9">
        <v>678.97</v>
      </c>
      <c r="G649" s="9" t="s">
        <v>554</v>
      </c>
      <c r="H649" s="9" t="s">
        <v>555</v>
      </c>
    </row>
    <row r="650" spans="1:8" ht="14.25">
      <c r="A650" s="9">
        <v>45673</v>
      </c>
      <c r="B650" s="9" t="s">
        <v>539</v>
      </c>
      <c r="C650" s="35">
        <v>45907</v>
      </c>
      <c r="D650" s="36">
        <v>45928</v>
      </c>
      <c r="E650" s="9">
        <v>761</v>
      </c>
      <c r="F650" s="9">
        <v>504.98</v>
      </c>
      <c r="G650" s="9" t="s">
        <v>554</v>
      </c>
      <c r="H650" s="9" t="s">
        <v>555</v>
      </c>
    </row>
    <row r="651" spans="1:8" ht="14.25">
      <c r="A651" s="37" t="s">
        <v>398</v>
      </c>
      <c r="B651" s="38">
        <v>6</v>
      </c>
      <c r="C651" s="37"/>
      <c r="D651" s="37"/>
      <c r="E651" s="37"/>
      <c r="F651" s="38">
        <v>2734.41</v>
      </c>
      <c r="G651" s="37"/>
      <c r="H651" s="37"/>
    </row>
    <row r="652" spans="1:8" ht="14.25">
      <c r="A652" s="9">
        <v>123</v>
      </c>
      <c r="B652" s="9" t="s">
        <v>420</v>
      </c>
      <c r="C652" s="36">
        <v>46032</v>
      </c>
      <c r="D652" s="36">
        <v>46035</v>
      </c>
      <c r="E652" s="9">
        <v>1289</v>
      </c>
      <c r="F652" s="9">
        <v>487.15</v>
      </c>
      <c r="G652" s="9" t="s">
        <v>554</v>
      </c>
      <c r="H652" s="9" t="s">
        <v>555</v>
      </c>
    </row>
    <row r="653" spans="1:8" ht="14.25">
      <c r="A653" s="9">
        <v>45673</v>
      </c>
      <c r="B653" s="9" t="s">
        <v>420</v>
      </c>
      <c r="C653" s="36">
        <v>46008</v>
      </c>
      <c r="D653" s="36">
        <v>46042</v>
      </c>
      <c r="E653" s="9">
        <v>1188</v>
      </c>
      <c r="F653" s="9">
        <v>1404.45</v>
      </c>
      <c r="G653" s="9" t="s">
        <v>554</v>
      </c>
      <c r="H653" s="9" t="s">
        <v>555</v>
      </c>
    </row>
    <row r="654" spans="1:8" ht="14.25">
      <c r="A654" s="9">
        <v>45673</v>
      </c>
      <c r="B654" s="9" t="s">
        <v>420</v>
      </c>
      <c r="C654" s="35">
        <v>45996</v>
      </c>
      <c r="D654" s="35">
        <v>46000</v>
      </c>
      <c r="E654" s="9">
        <v>1136</v>
      </c>
      <c r="F654" s="9">
        <v>1413.07</v>
      </c>
      <c r="G654" s="9" t="s">
        <v>554</v>
      </c>
      <c r="H654" s="9" t="s">
        <v>555</v>
      </c>
    </row>
    <row r="655" spans="1:8" ht="14.25">
      <c r="A655" s="37" t="s">
        <v>398</v>
      </c>
      <c r="B655" s="38">
        <v>3</v>
      </c>
      <c r="C655" s="37"/>
      <c r="D655" s="37"/>
      <c r="E655" s="37"/>
      <c r="F655" s="38">
        <v>3304.67</v>
      </c>
      <c r="G655" s="37"/>
      <c r="H655" s="37"/>
    </row>
    <row r="656" spans="1:8" ht="14.25">
      <c r="A656" s="9">
        <v>45673</v>
      </c>
      <c r="B656" s="9" t="s">
        <v>69</v>
      </c>
      <c r="C656" s="36">
        <v>46045</v>
      </c>
      <c r="D656" s="36">
        <v>46069</v>
      </c>
      <c r="E656" s="9">
        <v>1365</v>
      </c>
      <c r="F656" s="9">
        <v>317.01</v>
      </c>
      <c r="G656" s="9" t="s">
        <v>554</v>
      </c>
      <c r="H656" s="9" t="s">
        <v>555</v>
      </c>
    </row>
    <row r="657" spans="1:8" ht="14.25">
      <c r="A657" s="9">
        <v>45673</v>
      </c>
      <c r="B657" s="9" t="s">
        <v>69</v>
      </c>
      <c r="C657" s="35">
        <v>45997</v>
      </c>
      <c r="D657" s="35">
        <v>45998</v>
      </c>
      <c r="E657" s="9">
        <v>1144</v>
      </c>
      <c r="F657" s="9">
        <v>244.5</v>
      </c>
      <c r="G657" s="9" t="s">
        <v>554</v>
      </c>
      <c r="H657" s="9" t="s">
        <v>555</v>
      </c>
    </row>
    <row r="658" spans="1:8" ht="14.25">
      <c r="A658" s="9">
        <v>45673</v>
      </c>
      <c r="B658" s="9" t="s">
        <v>69</v>
      </c>
      <c r="C658" s="36">
        <v>45985</v>
      </c>
      <c r="D658" s="36">
        <v>45988</v>
      </c>
      <c r="E658" s="9">
        <v>1094</v>
      </c>
      <c r="F658" s="9">
        <v>310.8</v>
      </c>
      <c r="G658" s="9" t="s">
        <v>554</v>
      </c>
      <c r="H658" s="9" t="s">
        <v>555</v>
      </c>
    </row>
    <row r="659" spans="1:8" ht="14.25">
      <c r="A659" s="9">
        <v>45673</v>
      </c>
      <c r="B659" s="9" t="s">
        <v>69</v>
      </c>
      <c r="C659" s="36">
        <v>45927</v>
      </c>
      <c r="D659" s="36">
        <v>45929</v>
      </c>
      <c r="E659" s="9">
        <v>844</v>
      </c>
      <c r="F659" s="9">
        <v>122.4</v>
      </c>
      <c r="G659" s="9" t="s">
        <v>554</v>
      </c>
      <c r="H659" s="9" t="s">
        <v>555</v>
      </c>
    </row>
    <row r="660" spans="1:8" ht="14.25">
      <c r="A660" s="9">
        <v>45673</v>
      </c>
      <c r="B660" s="9" t="s">
        <v>69</v>
      </c>
      <c r="C660" s="36">
        <v>45913</v>
      </c>
      <c r="D660" s="36">
        <v>46008</v>
      </c>
      <c r="E660" s="9">
        <v>788</v>
      </c>
      <c r="F660" s="9">
        <v>248.7</v>
      </c>
      <c r="G660" s="9" t="s">
        <v>554</v>
      </c>
      <c r="H660" s="9" t="s">
        <v>555</v>
      </c>
    </row>
    <row r="661" spans="1:8" ht="14.25">
      <c r="A661" s="9">
        <v>123</v>
      </c>
      <c r="B661" s="9" t="s">
        <v>69</v>
      </c>
      <c r="C661" s="36">
        <v>45889</v>
      </c>
      <c r="D661" s="36">
        <v>45891</v>
      </c>
      <c r="E661" s="9">
        <v>656</v>
      </c>
      <c r="F661" s="9">
        <v>305.55</v>
      </c>
      <c r="G661" s="9" t="s">
        <v>554</v>
      </c>
      <c r="H661" s="9" t="s">
        <v>555</v>
      </c>
    </row>
    <row r="662" spans="1:8" ht="14.25">
      <c r="A662" s="9">
        <v>123</v>
      </c>
      <c r="B662" s="9" t="s">
        <v>69</v>
      </c>
      <c r="C662" s="35">
        <v>45878</v>
      </c>
      <c r="D662" s="35">
        <v>45878</v>
      </c>
      <c r="E662" s="9">
        <v>587</v>
      </c>
      <c r="F662" s="9">
        <v>155.97</v>
      </c>
      <c r="G662" s="9" t="s">
        <v>554</v>
      </c>
      <c r="H662" s="9" t="s">
        <v>555</v>
      </c>
    </row>
    <row r="663" spans="1:8" ht="14.25">
      <c r="A663" s="9">
        <v>123</v>
      </c>
      <c r="B663" s="9" t="s">
        <v>69</v>
      </c>
      <c r="C663" s="35">
        <v>45874</v>
      </c>
      <c r="D663" s="36">
        <v>46041</v>
      </c>
      <c r="E663" s="9">
        <v>559</v>
      </c>
      <c r="F663" s="9">
        <v>124.5</v>
      </c>
      <c r="G663" s="9" t="s">
        <v>554</v>
      </c>
      <c r="H663" s="9" t="s">
        <v>555</v>
      </c>
    </row>
    <row r="664" spans="1:8" ht="14.25">
      <c r="A664" s="9">
        <v>123</v>
      </c>
      <c r="B664" s="9" t="s">
        <v>69</v>
      </c>
      <c r="C664" s="36">
        <v>45852</v>
      </c>
      <c r="D664" s="9"/>
      <c r="E664" s="9">
        <v>435</v>
      </c>
      <c r="F664" s="9">
        <v>122.4</v>
      </c>
      <c r="G664" s="9" t="s">
        <v>554</v>
      </c>
      <c r="H664" s="9" t="s">
        <v>555</v>
      </c>
    </row>
    <row r="665" spans="1:8" ht="14.25">
      <c r="A665" s="9">
        <v>45673</v>
      </c>
      <c r="B665" s="9" t="s">
        <v>283</v>
      </c>
      <c r="C665" s="36">
        <v>46044</v>
      </c>
      <c r="D665" s="36">
        <v>46044</v>
      </c>
      <c r="E665" s="9">
        <v>1356</v>
      </c>
      <c r="F665" s="9">
        <v>305.55</v>
      </c>
      <c r="G665" s="9" t="s">
        <v>554</v>
      </c>
      <c r="H665" s="9" t="s">
        <v>555</v>
      </c>
    </row>
    <row r="666" spans="1:8" ht="14.25">
      <c r="A666" s="9">
        <v>45673</v>
      </c>
      <c r="B666" s="9" t="s">
        <v>283</v>
      </c>
      <c r="C666" s="36">
        <v>45974</v>
      </c>
      <c r="D666" s="36">
        <v>46008</v>
      </c>
      <c r="E666" s="9">
        <v>1058</v>
      </c>
      <c r="F666" s="9">
        <v>549.75</v>
      </c>
      <c r="G666" s="9" t="s">
        <v>554</v>
      </c>
      <c r="H666" s="9" t="s">
        <v>555</v>
      </c>
    </row>
    <row r="667" spans="1:8" ht="14.25">
      <c r="A667" s="9">
        <v>45673</v>
      </c>
      <c r="B667" s="9" t="s">
        <v>283</v>
      </c>
      <c r="C667" s="36">
        <v>45949</v>
      </c>
      <c r="D667" s="36">
        <v>46041</v>
      </c>
      <c r="E667" s="9">
        <v>970</v>
      </c>
      <c r="F667" s="9">
        <v>248.7</v>
      </c>
      <c r="G667" s="9" t="s">
        <v>554</v>
      </c>
      <c r="H667" s="9" t="s">
        <v>555</v>
      </c>
    </row>
    <row r="668" spans="1:8" ht="14.25">
      <c r="A668" s="9">
        <v>123</v>
      </c>
      <c r="B668" s="9" t="s">
        <v>283</v>
      </c>
      <c r="C668" s="36">
        <v>45851</v>
      </c>
      <c r="D668" s="36">
        <v>45852</v>
      </c>
      <c r="E668" s="9">
        <v>434</v>
      </c>
      <c r="F668" s="9">
        <v>270.95</v>
      </c>
      <c r="G668" s="9" t="s">
        <v>554</v>
      </c>
      <c r="H668" s="9" t="s">
        <v>555</v>
      </c>
    </row>
    <row r="669" spans="1:8" ht="14.25">
      <c r="A669" s="9">
        <v>123</v>
      </c>
      <c r="B669" s="9" t="s">
        <v>283</v>
      </c>
      <c r="C669" s="35">
        <v>45845</v>
      </c>
      <c r="D669" s="35">
        <v>45847</v>
      </c>
      <c r="E669" s="9">
        <v>387</v>
      </c>
      <c r="F669" s="9">
        <v>279.7</v>
      </c>
      <c r="G669" s="9" t="s">
        <v>554</v>
      </c>
      <c r="H669" s="9" t="s">
        <v>555</v>
      </c>
    </row>
    <row r="670" spans="1:8" ht="14.25">
      <c r="A670" s="37" t="s">
        <v>398</v>
      </c>
      <c r="B670" s="38">
        <v>14</v>
      </c>
      <c r="C670" s="37"/>
      <c r="D670" s="37"/>
      <c r="E670" s="37"/>
      <c r="F670" s="38">
        <v>3606.48</v>
      </c>
      <c r="G670" s="37"/>
      <c r="H670" s="37"/>
    </row>
    <row r="671" spans="1:8" ht="14.25">
      <c r="A671" s="9">
        <v>45673</v>
      </c>
      <c r="B671" s="9" t="s">
        <v>67</v>
      </c>
      <c r="C671" s="35">
        <v>46058</v>
      </c>
      <c r="D671" s="36">
        <v>46097</v>
      </c>
      <c r="E671" s="9">
        <v>1402</v>
      </c>
      <c r="F671" s="9">
        <v>322.18</v>
      </c>
      <c r="G671" s="9" t="s">
        <v>554</v>
      </c>
      <c r="H671" s="9" t="s">
        <v>555</v>
      </c>
    </row>
    <row r="672" spans="1:8" ht="14.25">
      <c r="A672" s="9">
        <v>45673</v>
      </c>
      <c r="B672" s="9" t="s">
        <v>67</v>
      </c>
      <c r="C672" s="36">
        <v>46047</v>
      </c>
      <c r="D672" s="36">
        <v>46053</v>
      </c>
      <c r="E672" s="9">
        <v>1368</v>
      </c>
      <c r="F672" s="9">
        <v>244.5</v>
      </c>
      <c r="G672" s="9" t="s">
        <v>554</v>
      </c>
      <c r="H672" s="9" t="s">
        <v>555</v>
      </c>
    </row>
    <row r="673" spans="1:8" ht="14.25">
      <c r="A673" s="9">
        <v>45673</v>
      </c>
      <c r="B673" s="9" t="s">
        <v>67</v>
      </c>
      <c r="C673" s="36">
        <v>46037</v>
      </c>
      <c r="D673" s="36">
        <v>46038</v>
      </c>
      <c r="E673" s="9">
        <v>1311</v>
      </c>
      <c r="F673" s="9">
        <v>424.65</v>
      </c>
      <c r="G673" s="9" t="s">
        <v>554</v>
      </c>
      <c r="H673" s="9" t="s">
        <v>555</v>
      </c>
    </row>
    <row r="674" spans="1:8" ht="14.25">
      <c r="A674" s="9">
        <v>45673</v>
      </c>
      <c r="B674" s="9" t="s">
        <v>67</v>
      </c>
      <c r="C674" s="36">
        <v>45940</v>
      </c>
      <c r="D674" s="36">
        <v>45941</v>
      </c>
      <c r="E674" s="9">
        <v>913</v>
      </c>
      <c r="F674" s="9">
        <v>244.5</v>
      </c>
      <c r="G674" s="9" t="s">
        <v>554</v>
      </c>
      <c r="H674" s="9" t="s">
        <v>555</v>
      </c>
    </row>
    <row r="675" spans="1:8" ht="14.25">
      <c r="A675" s="9">
        <v>45673</v>
      </c>
      <c r="B675" s="9" t="s">
        <v>67</v>
      </c>
      <c r="C675" s="36">
        <v>45913</v>
      </c>
      <c r="D675" s="36">
        <v>45915</v>
      </c>
      <c r="E675" s="9">
        <v>789</v>
      </c>
      <c r="F675" s="9">
        <v>319.79000000000002</v>
      </c>
      <c r="G675" s="9" t="s">
        <v>554</v>
      </c>
      <c r="H675" s="9" t="s">
        <v>555</v>
      </c>
    </row>
    <row r="676" spans="1:8" ht="14.25">
      <c r="A676" s="9">
        <v>45673</v>
      </c>
      <c r="B676" s="9" t="s">
        <v>67</v>
      </c>
      <c r="C676" s="35">
        <v>45904</v>
      </c>
      <c r="D676" s="35">
        <v>45905</v>
      </c>
      <c r="E676" s="9">
        <v>749</v>
      </c>
      <c r="F676" s="9">
        <v>305.55</v>
      </c>
      <c r="G676" s="9" t="s">
        <v>554</v>
      </c>
      <c r="H676" s="9" t="s">
        <v>555</v>
      </c>
    </row>
    <row r="677" spans="1:8" ht="14.25">
      <c r="A677" s="9">
        <v>123</v>
      </c>
      <c r="B677" s="9" t="s">
        <v>67</v>
      </c>
      <c r="C677" s="36">
        <v>45867</v>
      </c>
      <c r="D677" s="36">
        <v>45868</v>
      </c>
      <c r="E677" s="9">
        <v>522</v>
      </c>
      <c r="F677" s="9">
        <v>222.5</v>
      </c>
      <c r="G677" s="9" t="s">
        <v>554</v>
      </c>
      <c r="H677" s="9" t="s">
        <v>555</v>
      </c>
    </row>
    <row r="678" spans="1:8" ht="14.25">
      <c r="A678" s="9">
        <v>123</v>
      </c>
      <c r="B678" s="9" t="s">
        <v>67</v>
      </c>
      <c r="C678" s="36">
        <v>45866</v>
      </c>
      <c r="D678" s="35">
        <v>45871</v>
      </c>
      <c r="E678" s="9">
        <v>512</v>
      </c>
      <c r="F678" s="9">
        <v>1260</v>
      </c>
      <c r="G678" s="9" t="s">
        <v>554</v>
      </c>
      <c r="H678" s="9" t="s">
        <v>555</v>
      </c>
    </row>
    <row r="679" spans="1:8" ht="14.25">
      <c r="A679" s="9">
        <v>123</v>
      </c>
      <c r="B679" s="9" t="s">
        <v>67</v>
      </c>
      <c r="C679" s="35">
        <v>45839</v>
      </c>
      <c r="D679" s="35">
        <v>45842</v>
      </c>
      <c r="E679" s="9">
        <v>309</v>
      </c>
      <c r="F679" s="9">
        <v>244.14</v>
      </c>
      <c r="G679" s="9" t="s">
        <v>554</v>
      </c>
      <c r="H679" s="9" t="s">
        <v>555</v>
      </c>
    </row>
    <row r="680" spans="1:8" ht="14.25">
      <c r="A680" s="9">
        <v>45673</v>
      </c>
      <c r="B680" s="9" t="s">
        <v>277</v>
      </c>
      <c r="C680" s="36">
        <v>45945</v>
      </c>
      <c r="D680" s="36">
        <v>45946</v>
      </c>
      <c r="E680" s="9">
        <v>940</v>
      </c>
      <c r="F680" s="9">
        <v>305.55</v>
      </c>
      <c r="G680" s="9" t="s">
        <v>554</v>
      </c>
      <c r="H680" s="9" t="s">
        <v>555</v>
      </c>
    </row>
    <row r="681" spans="1:8" ht="14.25">
      <c r="A681" s="9">
        <v>45673</v>
      </c>
      <c r="B681" s="9" t="s">
        <v>277</v>
      </c>
      <c r="C681" s="35">
        <v>45906</v>
      </c>
      <c r="D681" s="35">
        <v>45907</v>
      </c>
      <c r="E681" s="9">
        <v>757</v>
      </c>
      <c r="F681" s="9">
        <v>424.65</v>
      </c>
      <c r="G681" s="9" t="s">
        <v>554</v>
      </c>
      <c r="H681" s="9" t="s">
        <v>555</v>
      </c>
    </row>
    <row r="682" spans="1:8" ht="14.25">
      <c r="A682" s="9">
        <v>45673</v>
      </c>
      <c r="B682" s="9" t="s">
        <v>277</v>
      </c>
      <c r="C682" s="36">
        <v>45898</v>
      </c>
      <c r="D682" s="36">
        <v>45916</v>
      </c>
      <c r="E682" s="9">
        <v>715</v>
      </c>
      <c r="F682" s="9">
        <v>488.7</v>
      </c>
      <c r="G682" s="9" t="s">
        <v>554</v>
      </c>
      <c r="H682" s="9" t="s">
        <v>555</v>
      </c>
    </row>
    <row r="683" spans="1:8" ht="14.25">
      <c r="A683" s="9">
        <v>123</v>
      </c>
      <c r="B683" s="9" t="s">
        <v>277</v>
      </c>
      <c r="C683" s="35">
        <v>45845</v>
      </c>
      <c r="D683" s="35">
        <v>45847</v>
      </c>
      <c r="E683" s="9">
        <v>390</v>
      </c>
      <c r="F683" s="9">
        <v>409.75</v>
      </c>
      <c r="G683" s="9" t="s">
        <v>554</v>
      </c>
      <c r="H683" s="9" t="s">
        <v>555</v>
      </c>
    </row>
    <row r="684" spans="1:8" ht="14.25">
      <c r="A684" s="9">
        <v>123</v>
      </c>
      <c r="B684" s="9" t="s">
        <v>564</v>
      </c>
      <c r="C684" s="36">
        <v>45881</v>
      </c>
      <c r="D684" s="36">
        <v>45883</v>
      </c>
      <c r="E684" s="9">
        <v>606</v>
      </c>
      <c r="F684" s="9">
        <v>309.76</v>
      </c>
      <c r="G684" s="9" t="s">
        <v>554</v>
      </c>
      <c r="H684" s="9" t="s">
        <v>555</v>
      </c>
    </row>
    <row r="685" spans="1:8" ht="14.25">
      <c r="A685" s="9">
        <v>45673</v>
      </c>
      <c r="B685" s="9" t="s">
        <v>66</v>
      </c>
      <c r="C685" s="36">
        <v>45927</v>
      </c>
      <c r="D685" s="36">
        <v>45980</v>
      </c>
      <c r="E685" s="9">
        <v>842</v>
      </c>
      <c r="F685" s="9">
        <v>621.29</v>
      </c>
      <c r="G685" s="9" t="s">
        <v>554</v>
      </c>
      <c r="H685" s="9" t="s">
        <v>555</v>
      </c>
    </row>
    <row r="686" spans="1:8" ht="14.25">
      <c r="A686" s="9">
        <v>123</v>
      </c>
      <c r="B686" s="9" t="s">
        <v>66</v>
      </c>
      <c r="C686" s="35">
        <v>45877</v>
      </c>
      <c r="D686" s="36">
        <v>45891</v>
      </c>
      <c r="E686" s="9">
        <v>579</v>
      </c>
      <c r="F686" s="9">
        <v>1343.4</v>
      </c>
      <c r="G686" s="9" t="s">
        <v>554</v>
      </c>
      <c r="H686" s="9" t="s">
        <v>555</v>
      </c>
    </row>
    <row r="687" spans="1:8" ht="14.25">
      <c r="A687" s="9">
        <v>123</v>
      </c>
      <c r="B687" s="9" t="s">
        <v>565</v>
      </c>
      <c r="C687" s="36">
        <v>45837</v>
      </c>
      <c r="D687" s="36">
        <v>45863</v>
      </c>
      <c r="E687" s="9">
        <v>290</v>
      </c>
      <c r="F687" s="9">
        <v>190.8</v>
      </c>
      <c r="G687" s="9" t="s">
        <v>554</v>
      </c>
      <c r="H687" s="9" t="s">
        <v>555</v>
      </c>
    </row>
    <row r="688" spans="1:8" ht="14.25">
      <c r="A688" s="9">
        <v>45673</v>
      </c>
      <c r="B688" s="9" t="s">
        <v>275</v>
      </c>
      <c r="C688" s="36">
        <v>45910</v>
      </c>
      <c r="D688" s="36">
        <v>45911</v>
      </c>
      <c r="E688" s="9">
        <v>777</v>
      </c>
      <c r="F688" s="9">
        <v>323.86</v>
      </c>
      <c r="G688" s="9" t="s">
        <v>554</v>
      </c>
      <c r="H688" s="9" t="s">
        <v>555</v>
      </c>
    </row>
    <row r="689" spans="1:8" ht="14.25">
      <c r="A689" s="9">
        <v>45673</v>
      </c>
      <c r="B689" s="9" t="s">
        <v>275</v>
      </c>
      <c r="C689" s="36">
        <v>45897</v>
      </c>
      <c r="D689" s="36">
        <v>45925</v>
      </c>
      <c r="E689" s="9">
        <v>707</v>
      </c>
      <c r="F689" s="9">
        <v>366.6</v>
      </c>
      <c r="G689" s="9" t="s">
        <v>554</v>
      </c>
      <c r="H689" s="9" t="s">
        <v>555</v>
      </c>
    </row>
    <row r="690" spans="1:8" ht="14.25">
      <c r="A690" s="9">
        <v>123</v>
      </c>
      <c r="B690" s="9" t="s">
        <v>275</v>
      </c>
      <c r="C690" s="35">
        <v>45845</v>
      </c>
      <c r="D690" s="36">
        <v>45972</v>
      </c>
      <c r="E690" s="9">
        <v>389</v>
      </c>
      <c r="F690" s="9">
        <v>244.14</v>
      </c>
      <c r="G690" s="9" t="s">
        <v>554</v>
      </c>
      <c r="H690" s="9" t="s">
        <v>555</v>
      </c>
    </row>
    <row r="691" spans="1:8" ht="14.25">
      <c r="A691" s="9">
        <v>45673</v>
      </c>
      <c r="B691" s="9" t="s">
        <v>63</v>
      </c>
      <c r="C691" s="36">
        <v>45926</v>
      </c>
      <c r="D691" s="36">
        <v>45927</v>
      </c>
      <c r="E691" s="9">
        <v>841</v>
      </c>
      <c r="F691" s="9">
        <v>244.5</v>
      </c>
      <c r="G691" s="9" t="s">
        <v>554</v>
      </c>
      <c r="H691" s="9" t="s">
        <v>555</v>
      </c>
    </row>
    <row r="692" spans="1:8" ht="14.25">
      <c r="A692" s="9">
        <v>123</v>
      </c>
      <c r="B692" s="9" t="s">
        <v>63</v>
      </c>
      <c r="C692" s="36">
        <v>45881</v>
      </c>
      <c r="D692" s="36">
        <v>45910</v>
      </c>
      <c r="E692" s="9">
        <v>608</v>
      </c>
      <c r="F692" s="9">
        <v>488.7</v>
      </c>
      <c r="G692" s="9" t="s">
        <v>554</v>
      </c>
      <c r="H692" s="9" t="s">
        <v>555</v>
      </c>
    </row>
    <row r="693" spans="1:8" ht="14.25">
      <c r="A693" s="37" t="s">
        <v>398</v>
      </c>
      <c r="B693" s="38">
        <v>22</v>
      </c>
      <c r="C693" s="37"/>
      <c r="D693" s="37"/>
      <c r="E693" s="37"/>
      <c r="F693" s="38">
        <v>9349.51</v>
      </c>
      <c r="G693" s="37"/>
      <c r="H693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Attraction Groups</vt:lpstr>
      <vt:lpstr>Free-time attractions</vt:lpstr>
      <vt:lpstr>Extra Data for Business Decisio</vt:lpstr>
      <vt:lpstr>Archive Attractions Matrix</vt:lpstr>
      <vt:lpstr>Archive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Avaline W</cp:lastModifiedBy>
  <dcterms:created xsi:type="dcterms:W3CDTF">2026-02-26T22:20:26Z</dcterms:created>
  <dcterms:modified xsi:type="dcterms:W3CDTF">2026-03-09T06:39:21Z</dcterms:modified>
</cp:coreProperties>
</file>